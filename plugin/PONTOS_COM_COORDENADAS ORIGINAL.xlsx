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Meu Drive\_TRABALHO_PESQUISAS\TRABALHO_PESQUISA_ARTIGOS_FINALIZAR\08_COMPARATIVO_GPS_CELULAR\STAT\"/>
    </mc:Choice>
  </mc:AlternateContent>
  <xr:revisionPtr revIDLastSave="0" documentId="13_ncr:1_{251C8E6F-5A21-4BA2-AABE-595CD394C67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lanilha1" sheetId="1" r:id="rId1"/>
  </sheets>
  <definedNames>
    <definedName name="_xlnm._FilterDatabase" localSheetId="0">Planilha1!$A$1:$S$1</definedName>
  </definedName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40" i="1" l="1"/>
  <c r="L40" i="1"/>
  <c r="O40" i="1"/>
  <c r="P40" i="1"/>
  <c r="S40" i="1" s="1"/>
  <c r="M40" i="1"/>
  <c r="N40" i="1"/>
  <c r="K58" i="1"/>
  <c r="L58" i="1"/>
  <c r="O58" i="1"/>
  <c r="P58" i="1"/>
  <c r="M58" i="1"/>
  <c r="N58" i="1"/>
  <c r="K86" i="1"/>
  <c r="L86" i="1"/>
  <c r="O86" i="1"/>
  <c r="P86" i="1"/>
  <c r="M86" i="1"/>
  <c r="N86" i="1"/>
  <c r="R86" i="1" s="1"/>
  <c r="K84" i="1"/>
  <c r="L84" i="1"/>
  <c r="O84" i="1"/>
  <c r="P84" i="1"/>
  <c r="M84" i="1"/>
  <c r="N84" i="1"/>
  <c r="R84" i="1" s="1"/>
  <c r="K56" i="1"/>
  <c r="L56" i="1"/>
  <c r="O56" i="1"/>
  <c r="P56" i="1"/>
  <c r="S56" i="1" s="1"/>
  <c r="M56" i="1"/>
  <c r="N56" i="1"/>
  <c r="R56" i="1" s="1"/>
  <c r="K12" i="1"/>
  <c r="L12" i="1"/>
  <c r="O12" i="1"/>
  <c r="P12" i="1"/>
  <c r="S12" i="1" s="1"/>
  <c r="M12" i="1"/>
  <c r="N12" i="1"/>
  <c r="K66" i="1"/>
  <c r="L66" i="1"/>
  <c r="O66" i="1"/>
  <c r="P66" i="1"/>
  <c r="M66" i="1"/>
  <c r="N66" i="1"/>
  <c r="K59" i="1"/>
  <c r="L59" i="1"/>
  <c r="O59" i="1"/>
  <c r="P59" i="1"/>
  <c r="M59" i="1"/>
  <c r="N59" i="1"/>
  <c r="R59" i="1" s="1"/>
  <c r="K69" i="1"/>
  <c r="L69" i="1"/>
  <c r="O69" i="1"/>
  <c r="P69" i="1"/>
  <c r="M69" i="1"/>
  <c r="N69" i="1"/>
  <c r="K53" i="1"/>
  <c r="L53" i="1"/>
  <c r="O53" i="1"/>
  <c r="P53" i="1"/>
  <c r="M53" i="1"/>
  <c r="N53" i="1"/>
  <c r="K24" i="1"/>
  <c r="L24" i="1"/>
  <c r="O24" i="1"/>
  <c r="P24" i="1"/>
  <c r="S24" i="1" s="1"/>
  <c r="M24" i="1"/>
  <c r="N24" i="1"/>
  <c r="K55" i="1"/>
  <c r="L55" i="1"/>
  <c r="O55" i="1"/>
  <c r="P55" i="1"/>
  <c r="S55" i="1" s="1"/>
  <c r="M55" i="1"/>
  <c r="N55" i="1"/>
  <c r="K49" i="1"/>
  <c r="L49" i="1"/>
  <c r="O49" i="1"/>
  <c r="P49" i="1"/>
  <c r="M49" i="1"/>
  <c r="N49" i="1"/>
  <c r="R49" i="1" s="1"/>
  <c r="K39" i="1"/>
  <c r="L39" i="1"/>
  <c r="O39" i="1"/>
  <c r="P39" i="1"/>
  <c r="M39" i="1"/>
  <c r="N39" i="1"/>
  <c r="R39" i="1" s="1"/>
  <c r="K36" i="1"/>
  <c r="L36" i="1"/>
  <c r="O36" i="1"/>
  <c r="P36" i="1"/>
  <c r="S36" i="1" s="1"/>
  <c r="M36" i="1"/>
  <c r="N36" i="1"/>
  <c r="R36" i="1" s="1"/>
  <c r="K51" i="1"/>
  <c r="L51" i="1"/>
  <c r="O51" i="1"/>
  <c r="P51" i="1"/>
  <c r="M51" i="1"/>
  <c r="N51" i="1"/>
  <c r="K77" i="1"/>
  <c r="L77" i="1"/>
  <c r="O77" i="1"/>
  <c r="P77" i="1"/>
  <c r="M77" i="1"/>
  <c r="N77" i="1"/>
  <c r="K32" i="1"/>
  <c r="L32" i="1"/>
  <c r="Q32" i="1" s="1"/>
  <c r="O32" i="1"/>
  <c r="P32" i="1"/>
  <c r="M32" i="1"/>
  <c r="N32" i="1"/>
  <c r="R32" i="1" s="1"/>
  <c r="K33" i="1"/>
  <c r="L33" i="1"/>
  <c r="O33" i="1"/>
  <c r="P33" i="1"/>
  <c r="M33" i="1"/>
  <c r="N33" i="1"/>
  <c r="K13" i="1"/>
  <c r="L13" i="1"/>
  <c r="O13" i="1"/>
  <c r="P13" i="1"/>
  <c r="S13" i="1" s="1"/>
  <c r="M13" i="1"/>
  <c r="N13" i="1"/>
  <c r="K44" i="1"/>
  <c r="L44" i="1"/>
  <c r="O44" i="1"/>
  <c r="P44" i="1"/>
  <c r="S44" i="1" s="1"/>
  <c r="M44" i="1"/>
  <c r="N44" i="1"/>
  <c r="K14" i="1"/>
  <c r="L14" i="1"/>
  <c r="O14" i="1"/>
  <c r="P14" i="1"/>
  <c r="S14" i="1" s="1"/>
  <c r="M14" i="1"/>
  <c r="N14" i="1"/>
  <c r="K76" i="1"/>
  <c r="L76" i="1"/>
  <c r="O76" i="1"/>
  <c r="P76" i="1"/>
  <c r="M76" i="1"/>
  <c r="N76" i="1"/>
  <c r="R76" i="1" s="1"/>
  <c r="K57" i="1"/>
  <c r="L57" i="1"/>
  <c r="O57" i="1"/>
  <c r="P57" i="1"/>
  <c r="M57" i="1"/>
  <c r="N57" i="1"/>
  <c r="R57" i="1" s="1"/>
  <c r="K65" i="1"/>
  <c r="L65" i="1"/>
  <c r="O65" i="1"/>
  <c r="P65" i="1"/>
  <c r="M65" i="1"/>
  <c r="N65" i="1"/>
  <c r="R65" i="1" s="1"/>
  <c r="K43" i="1"/>
  <c r="L43" i="1"/>
  <c r="O43" i="1"/>
  <c r="P43" i="1"/>
  <c r="M43" i="1"/>
  <c r="N43" i="1"/>
  <c r="K27" i="1"/>
  <c r="L27" i="1"/>
  <c r="O27" i="1"/>
  <c r="P27" i="1"/>
  <c r="M27" i="1"/>
  <c r="N27" i="1"/>
  <c r="K7" i="1"/>
  <c r="L7" i="1"/>
  <c r="Q7" i="1" s="1"/>
  <c r="O7" i="1"/>
  <c r="P7" i="1"/>
  <c r="M7" i="1"/>
  <c r="N7" i="1"/>
  <c r="K31" i="1"/>
  <c r="L31" i="1"/>
  <c r="O31" i="1"/>
  <c r="P31" i="1"/>
  <c r="M31" i="1"/>
  <c r="N31" i="1"/>
  <c r="K52" i="1"/>
  <c r="L52" i="1"/>
  <c r="O52" i="1"/>
  <c r="P52" i="1"/>
  <c r="S52" i="1" s="1"/>
  <c r="M52" i="1"/>
  <c r="N52" i="1"/>
  <c r="K72" i="1"/>
  <c r="L72" i="1"/>
  <c r="O72" i="1"/>
  <c r="P72" i="1"/>
  <c r="S72" i="1" s="1"/>
  <c r="M72" i="1"/>
  <c r="N72" i="1"/>
  <c r="R72" i="1" s="1"/>
  <c r="K83" i="1"/>
  <c r="L83" i="1"/>
  <c r="O83" i="1"/>
  <c r="P83" i="1"/>
  <c r="S83" i="1" s="1"/>
  <c r="M83" i="1"/>
  <c r="N83" i="1"/>
  <c r="K71" i="1"/>
  <c r="L71" i="1"/>
  <c r="O71" i="1"/>
  <c r="P71" i="1"/>
  <c r="S71" i="1" s="1"/>
  <c r="M71" i="1"/>
  <c r="N71" i="1"/>
  <c r="R71" i="1" s="1"/>
  <c r="K75" i="1"/>
  <c r="L75" i="1"/>
  <c r="O75" i="1"/>
  <c r="P75" i="1"/>
  <c r="M75" i="1"/>
  <c r="N75" i="1"/>
  <c r="R75" i="1" s="1"/>
  <c r="K45" i="1"/>
  <c r="L45" i="1"/>
  <c r="O45" i="1"/>
  <c r="P45" i="1"/>
  <c r="M45" i="1"/>
  <c r="N45" i="1"/>
  <c r="R45" i="1" s="1"/>
  <c r="K61" i="1"/>
  <c r="L61" i="1"/>
  <c r="O61" i="1"/>
  <c r="P61" i="1"/>
  <c r="M61" i="1"/>
  <c r="N61" i="1"/>
  <c r="R61" i="1" s="1"/>
  <c r="K80" i="1"/>
  <c r="L80" i="1"/>
  <c r="O80" i="1"/>
  <c r="P80" i="1"/>
  <c r="M80" i="1"/>
  <c r="N80" i="1"/>
  <c r="K18" i="1"/>
  <c r="L18" i="1"/>
  <c r="Q18" i="1" s="1"/>
  <c r="O18" i="1"/>
  <c r="P18" i="1"/>
  <c r="M18" i="1"/>
  <c r="N18" i="1"/>
  <c r="K35" i="1"/>
  <c r="L35" i="1"/>
  <c r="Q35" i="1" s="1"/>
  <c r="O35" i="1"/>
  <c r="P35" i="1"/>
  <c r="M35" i="1"/>
  <c r="N35" i="1"/>
  <c r="K29" i="1"/>
  <c r="L29" i="1"/>
  <c r="O29" i="1"/>
  <c r="P29" i="1"/>
  <c r="S29" i="1" s="1"/>
  <c r="M29" i="1"/>
  <c r="N29" i="1"/>
  <c r="K87" i="1"/>
  <c r="L87" i="1"/>
  <c r="O87" i="1"/>
  <c r="P87" i="1"/>
  <c r="S87" i="1" s="1"/>
  <c r="M87" i="1"/>
  <c r="N87" i="1"/>
  <c r="K78" i="1"/>
  <c r="L78" i="1"/>
  <c r="O78" i="1"/>
  <c r="P78" i="1"/>
  <c r="S78" i="1" s="1"/>
  <c r="M78" i="1"/>
  <c r="N78" i="1"/>
  <c r="K79" i="1"/>
  <c r="L79" i="1"/>
  <c r="O79" i="1"/>
  <c r="P79" i="1"/>
  <c r="S79" i="1" s="1"/>
  <c r="M79" i="1"/>
  <c r="N79" i="1"/>
  <c r="R79" i="1" s="1"/>
  <c r="K63" i="1"/>
  <c r="L63" i="1"/>
  <c r="O63" i="1"/>
  <c r="P63" i="1"/>
  <c r="M63" i="1"/>
  <c r="N63" i="1"/>
  <c r="R63" i="1" s="1"/>
  <c r="K85" i="1"/>
  <c r="L85" i="1"/>
  <c r="O85" i="1"/>
  <c r="P85" i="1"/>
  <c r="M85" i="1"/>
  <c r="N85" i="1"/>
  <c r="R85" i="1" s="1"/>
  <c r="K70" i="1"/>
  <c r="L70" i="1"/>
  <c r="O70" i="1"/>
  <c r="P70" i="1"/>
  <c r="M70" i="1"/>
  <c r="N70" i="1"/>
  <c r="R70" i="1" s="1"/>
  <c r="K64" i="1"/>
  <c r="L64" i="1"/>
  <c r="O64" i="1"/>
  <c r="P64" i="1"/>
  <c r="M64" i="1"/>
  <c r="N64" i="1"/>
  <c r="K62" i="1"/>
  <c r="Q62" i="1" s="1"/>
  <c r="L62" i="1"/>
  <c r="O62" i="1"/>
  <c r="P62" i="1"/>
  <c r="M62" i="1"/>
  <c r="N62" i="1"/>
  <c r="K54" i="1"/>
  <c r="L54" i="1"/>
  <c r="O54" i="1"/>
  <c r="P54" i="1"/>
  <c r="M54" i="1"/>
  <c r="N54" i="1"/>
  <c r="K34" i="1"/>
  <c r="L34" i="1"/>
  <c r="O34" i="1"/>
  <c r="P34" i="1"/>
  <c r="S34" i="1" s="1"/>
  <c r="M34" i="1"/>
  <c r="N34" i="1"/>
  <c r="K48" i="1"/>
  <c r="L48" i="1"/>
  <c r="O48" i="1"/>
  <c r="P48" i="1"/>
  <c r="M48" i="1"/>
  <c r="N48" i="1"/>
  <c r="K9" i="1"/>
  <c r="L9" i="1"/>
  <c r="O9" i="1"/>
  <c r="P9" i="1"/>
  <c r="S9" i="1" s="1"/>
  <c r="M9" i="1"/>
  <c r="N9" i="1"/>
  <c r="K17" i="1"/>
  <c r="L17" i="1"/>
  <c r="O17" i="1"/>
  <c r="P17" i="1"/>
  <c r="S17" i="1" s="1"/>
  <c r="M17" i="1"/>
  <c r="N17" i="1"/>
  <c r="R17" i="1" s="1"/>
  <c r="K19" i="1"/>
  <c r="L19" i="1"/>
  <c r="O19" i="1"/>
  <c r="P19" i="1"/>
  <c r="M19" i="1"/>
  <c r="N19" i="1"/>
  <c r="R19" i="1" s="1"/>
  <c r="K21" i="1"/>
  <c r="L21" i="1"/>
  <c r="O21" i="1"/>
  <c r="P21" i="1"/>
  <c r="M21" i="1"/>
  <c r="N21" i="1"/>
  <c r="R21" i="1" s="1"/>
  <c r="K37" i="1"/>
  <c r="L37" i="1"/>
  <c r="O37" i="1"/>
  <c r="P37" i="1"/>
  <c r="M37" i="1"/>
  <c r="N37" i="1"/>
  <c r="R37" i="1" s="1"/>
  <c r="K16" i="1"/>
  <c r="L16" i="1"/>
  <c r="O16" i="1"/>
  <c r="P16" i="1"/>
  <c r="M16" i="1"/>
  <c r="N16" i="1"/>
  <c r="K74" i="1"/>
  <c r="L74" i="1"/>
  <c r="O74" i="1"/>
  <c r="P74" i="1"/>
  <c r="M74" i="1"/>
  <c r="N74" i="1"/>
  <c r="K11" i="1"/>
  <c r="L11" i="1"/>
  <c r="O11" i="1"/>
  <c r="P11" i="1"/>
  <c r="M11" i="1"/>
  <c r="N11" i="1"/>
  <c r="K10" i="1"/>
  <c r="L10" i="1"/>
  <c r="O10" i="1"/>
  <c r="P10" i="1"/>
  <c r="S10" i="1" s="1"/>
  <c r="M10" i="1"/>
  <c r="N10" i="1"/>
  <c r="K67" i="1"/>
  <c r="L67" i="1"/>
  <c r="O67" i="1"/>
  <c r="P67" i="1"/>
  <c r="S67" i="1" s="1"/>
  <c r="M67" i="1"/>
  <c r="N67" i="1"/>
  <c r="K68" i="1"/>
  <c r="L68" i="1"/>
  <c r="O68" i="1"/>
  <c r="P68" i="1"/>
  <c r="S68" i="1" s="1"/>
  <c r="M68" i="1"/>
  <c r="N68" i="1"/>
  <c r="K60" i="1"/>
  <c r="L60" i="1"/>
  <c r="O60" i="1"/>
  <c r="P60" i="1"/>
  <c r="S60" i="1" s="1"/>
  <c r="M60" i="1"/>
  <c r="N60" i="1"/>
  <c r="R60" i="1" s="1"/>
  <c r="K82" i="1"/>
  <c r="L82" i="1"/>
  <c r="O82" i="1"/>
  <c r="P82" i="1"/>
  <c r="M82" i="1"/>
  <c r="N82" i="1"/>
  <c r="R82" i="1" s="1"/>
  <c r="K73" i="1"/>
  <c r="L73" i="1"/>
  <c r="O73" i="1"/>
  <c r="P73" i="1"/>
  <c r="M73" i="1"/>
  <c r="N73" i="1"/>
  <c r="R73" i="1" s="1"/>
  <c r="K50" i="1"/>
  <c r="L50" i="1"/>
  <c r="O50" i="1"/>
  <c r="P50" i="1"/>
  <c r="S50" i="1" s="1"/>
  <c r="M50" i="1"/>
  <c r="N50" i="1"/>
  <c r="R50" i="1" s="1"/>
  <c r="K38" i="1"/>
  <c r="L38" i="1"/>
  <c r="O38" i="1"/>
  <c r="P38" i="1"/>
  <c r="M38" i="1"/>
  <c r="N38" i="1"/>
  <c r="K22" i="1"/>
  <c r="L22" i="1"/>
  <c r="O22" i="1"/>
  <c r="P22" i="1"/>
  <c r="M22" i="1"/>
  <c r="N22" i="1"/>
  <c r="K20" i="1"/>
  <c r="L20" i="1"/>
  <c r="O20" i="1"/>
  <c r="P20" i="1"/>
  <c r="M20" i="1"/>
  <c r="N20" i="1"/>
  <c r="R20" i="1" s="1"/>
  <c r="K47" i="1"/>
  <c r="L47" i="1"/>
  <c r="O47" i="1"/>
  <c r="P47" i="1"/>
  <c r="S47" i="1" s="1"/>
  <c r="M47" i="1"/>
  <c r="N47" i="1"/>
  <c r="K6" i="1"/>
  <c r="L6" i="1"/>
  <c r="O6" i="1"/>
  <c r="P6" i="1"/>
  <c r="S6" i="1" s="1"/>
  <c r="M6" i="1"/>
  <c r="N6" i="1"/>
  <c r="K8" i="1"/>
  <c r="L8" i="1"/>
  <c r="O8" i="1"/>
  <c r="P8" i="1"/>
  <c r="S8" i="1" s="1"/>
  <c r="M8" i="1"/>
  <c r="N8" i="1"/>
  <c r="K28" i="1"/>
  <c r="L28" i="1"/>
  <c r="O28" i="1"/>
  <c r="P28" i="1"/>
  <c r="S28" i="1" s="1"/>
  <c r="M28" i="1"/>
  <c r="N28" i="1"/>
  <c r="R28" i="1" s="1"/>
  <c r="K5" i="1"/>
  <c r="L5" i="1"/>
  <c r="O5" i="1"/>
  <c r="P5" i="1"/>
  <c r="M5" i="1"/>
  <c r="N5" i="1"/>
  <c r="R5" i="1" s="1"/>
  <c r="K2" i="1"/>
  <c r="L2" i="1"/>
  <c r="O2" i="1"/>
  <c r="P2" i="1"/>
  <c r="M2" i="1"/>
  <c r="N2" i="1"/>
  <c r="R2" i="1" s="1"/>
  <c r="K15" i="1"/>
  <c r="L15" i="1"/>
  <c r="O15" i="1"/>
  <c r="P15" i="1"/>
  <c r="S15" i="1" s="1"/>
  <c r="M15" i="1"/>
  <c r="N15" i="1"/>
  <c r="R15" i="1" s="1"/>
  <c r="K46" i="1"/>
  <c r="L46" i="1"/>
  <c r="O46" i="1"/>
  <c r="P46" i="1"/>
  <c r="M46" i="1"/>
  <c r="N46" i="1"/>
  <c r="K41" i="1"/>
  <c r="L41" i="1"/>
  <c r="Q41" i="1" s="1"/>
  <c r="O41" i="1"/>
  <c r="P41" i="1"/>
  <c r="M41" i="1"/>
  <c r="N41" i="1"/>
  <c r="R41" i="1" s="1"/>
  <c r="K42" i="1"/>
  <c r="L42" i="1"/>
  <c r="Q42" i="1" s="1"/>
  <c r="O42" i="1"/>
  <c r="P42" i="1"/>
  <c r="M42" i="1"/>
  <c r="N42" i="1"/>
  <c r="R42" i="1" s="1"/>
  <c r="K3" i="1"/>
  <c r="L3" i="1"/>
  <c r="O3" i="1"/>
  <c r="P3" i="1"/>
  <c r="S3" i="1" s="1"/>
  <c r="M3" i="1"/>
  <c r="N3" i="1"/>
  <c r="K23" i="1"/>
  <c r="L23" i="1"/>
  <c r="O23" i="1"/>
  <c r="P23" i="1"/>
  <c r="S23" i="1" s="1"/>
  <c r="M23" i="1"/>
  <c r="N23" i="1"/>
  <c r="K25" i="1"/>
  <c r="L25" i="1"/>
  <c r="O25" i="1"/>
  <c r="P25" i="1"/>
  <c r="S25" i="1" s="1"/>
  <c r="M25" i="1"/>
  <c r="N25" i="1"/>
  <c r="K4" i="1"/>
  <c r="L4" i="1"/>
  <c r="O4" i="1"/>
  <c r="P4" i="1"/>
  <c r="S4" i="1" s="1"/>
  <c r="M4" i="1"/>
  <c r="N4" i="1"/>
  <c r="R4" i="1" s="1"/>
  <c r="K26" i="1"/>
  <c r="L26" i="1"/>
  <c r="O26" i="1"/>
  <c r="P26" i="1"/>
  <c r="M26" i="1"/>
  <c r="N26" i="1"/>
  <c r="R26" i="1" s="1"/>
  <c r="K30" i="1"/>
  <c r="L30" i="1"/>
  <c r="O30" i="1"/>
  <c r="P30" i="1"/>
  <c r="S30" i="1" s="1"/>
  <c r="M30" i="1"/>
  <c r="N30" i="1"/>
  <c r="R30" i="1" s="1"/>
  <c r="N81" i="1"/>
  <c r="M81" i="1"/>
  <c r="P81" i="1"/>
  <c r="O81" i="1"/>
  <c r="L81" i="1"/>
  <c r="K81" i="1"/>
  <c r="Q81" i="1" s="1"/>
  <c r="S53" i="1" l="1"/>
  <c r="S48" i="1"/>
  <c r="S26" i="1"/>
  <c r="R46" i="1"/>
  <c r="S5" i="1"/>
  <c r="Q6" i="1"/>
  <c r="R38" i="1"/>
  <c r="S82" i="1"/>
  <c r="R16" i="1"/>
  <c r="S19" i="1"/>
  <c r="R64" i="1"/>
  <c r="S63" i="1"/>
  <c r="R80" i="1"/>
  <c r="S75" i="1"/>
  <c r="R27" i="1"/>
  <c r="S57" i="1"/>
  <c r="R77" i="1"/>
  <c r="R66" i="1"/>
  <c r="S84" i="1"/>
  <c r="S80" i="1"/>
  <c r="R81" i="1"/>
  <c r="Q70" i="1"/>
  <c r="Q8" i="1"/>
  <c r="Q9" i="1"/>
  <c r="Q14" i="1"/>
  <c r="R23" i="1"/>
  <c r="S41" i="1"/>
  <c r="R6" i="1"/>
  <c r="S22" i="1"/>
  <c r="R67" i="1"/>
  <c r="S74" i="1"/>
  <c r="Q21" i="1"/>
  <c r="R48" i="1"/>
  <c r="S62" i="1"/>
  <c r="R87" i="1"/>
  <c r="S18" i="1"/>
  <c r="S7" i="1"/>
  <c r="R44" i="1"/>
  <c r="S32" i="1"/>
  <c r="R24" i="1"/>
  <c r="S59" i="1"/>
  <c r="R14" i="1"/>
  <c r="Q15" i="1"/>
  <c r="R3" i="1"/>
  <c r="S46" i="1"/>
  <c r="R47" i="1"/>
  <c r="S38" i="1"/>
  <c r="R10" i="1"/>
  <c r="S16" i="1"/>
  <c r="R34" i="1"/>
  <c r="S64" i="1"/>
  <c r="R29" i="1"/>
  <c r="R52" i="1"/>
  <c r="S27" i="1"/>
  <c r="R13" i="1"/>
  <c r="S77" i="1"/>
  <c r="R53" i="1"/>
  <c r="S66" i="1"/>
  <c r="Q80" i="1"/>
  <c r="Q17" i="1"/>
  <c r="Q71" i="1"/>
  <c r="Q49" i="1"/>
  <c r="Q86" i="1"/>
  <c r="Q12" i="1"/>
  <c r="S58" i="1"/>
  <c r="S2" i="1"/>
  <c r="R22" i="1"/>
  <c r="S73" i="1"/>
  <c r="R74" i="1"/>
  <c r="S21" i="1"/>
  <c r="R62" i="1"/>
  <c r="S85" i="1"/>
  <c r="R18" i="1"/>
  <c r="S45" i="1"/>
  <c r="R7" i="1"/>
  <c r="S65" i="1"/>
  <c r="R40" i="1"/>
  <c r="Q30" i="1"/>
  <c r="Q36" i="1"/>
  <c r="R43" i="1"/>
  <c r="S76" i="1"/>
  <c r="R51" i="1"/>
  <c r="S49" i="1"/>
  <c r="Q53" i="1"/>
  <c r="R12" i="1"/>
  <c r="S86" i="1"/>
  <c r="Q20" i="1"/>
  <c r="Q59" i="1"/>
  <c r="Q65" i="1"/>
  <c r="Q75" i="1"/>
  <c r="Q22" i="1"/>
  <c r="Q78" i="1"/>
  <c r="Q56" i="1"/>
  <c r="Q74" i="1"/>
  <c r="Q34" i="1"/>
  <c r="Q52" i="1"/>
  <c r="Q58" i="1"/>
  <c r="R11" i="1"/>
  <c r="S37" i="1"/>
  <c r="R54" i="1"/>
  <c r="S70" i="1"/>
  <c r="R35" i="1"/>
  <c r="S61" i="1"/>
  <c r="R31" i="1"/>
  <c r="S43" i="1"/>
  <c r="R33" i="1"/>
  <c r="S51" i="1"/>
  <c r="R69" i="1"/>
  <c r="Q83" i="1"/>
  <c r="S81" i="1"/>
  <c r="R25" i="1"/>
  <c r="S42" i="1"/>
  <c r="R8" i="1"/>
  <c r="S20" i="1"/>
  <c r="R68" i="1"/>
  <c r="S11" i="1"/>
  <c r="R9" i="1"/>
  <c r="S54" i="1"/>
  <c r="R78" i="1"/>
  <c r="S35" i="1"/>
  <c r="R83" i="1"/>
  <c r="S31" i="1"/>
  <c r="S33" i="1"/>
  <c r="R55" i="1"/>
  <c r="S69" i="1"/>
  <c r="R58" i="1"/>
  <c r="Q76" i="1"/>
  <c r="Q68" i="1"/>
  <c r="Q55" i="1"/>
  <c r="Q13" i="1"/>
  <c r="Q60" i="1"/>
  <c r="Q37" i="1"/>
  <c r="Q61" i="1"/>
  <c r="Q31" i="1"/>
  <c r="Q2" i="1"/>
  <c r="Q23" i="1"/>
  <c r="Q40" i="1"/>
  <c r="Q3" i="1"/>
  <c r="Q10" i="1"/>
  <c r="Q29" i="1"/>
  <c r="Q11" i="1"/>
  <c r="Q69" i="1"/>
  <c r="Q25" i="1"/>
  <c r="Q85" i="1"/>
  <c r="Q47" i="1"/>
  <c r="Q50" i="1"/>
  <c r="Q43" i="1"/>
  <c r="Q33" i="1"/>
  <c r="Q73" i="1"/>
  <c r="Q87" i="1"/>
  <c r="Q24" i="1"/>
  <c r="Q26" i="1"/>
  <c r="Q5" i="1"/>
  <c r="Q82" i="1"/>
  <c r="Q19" i="1"/>
  <c r="Q63" i="1"/>
  <c r="Q57" i="1"/>
  <c r="Q39" i="1"/>
  <c r="Q84" i="1"/>
  <c r="Q28" i="1"/>
  <c r="Q79" i="1"/>
  <c r="Q51" i="1"/>
  <c r="Q45" i="1"/>
  <c r="S39" i="1"/>
  <c r="Q67" i="1"/>
  <c r="Q48" i="1"/>
  <c r="Q72" i="1"/>
  <c r="Q4" i="1"/>
  <c r="Q54" i="1"/>
  <c r="Q44" i="1"/>
  <c r="Q46" i="1"/>
  <c r="Q38" i="1"/>
  <c r="Q16" i="1"/>
  <c r="Q64" i="1"/>
  <c r="Q27" i="1"/>
  <c r="Q77" i="1"/>
  <c r="Q66" i="1"/>
</calcChain>
</file>

<file path=xl/sharedStrings.xml><?xml version="1.0" encoding="utf-8"?>
<sst xmlns="http://schemas.openxmlformats.org/spreadsheetml/2006/main" count="191" uniqueCount="108">
  <si>
    <t>0217</t>
  </si>
  <si>
    <t>milho 2</t>
  </si>
  <si>
    <t>0216</t>
  </si>
  <si>
    <t>0215</t>
  </si>
  <si>
    <t>0214</t>
  </si>
  <si>
    <t>0213</t>
  </si>
  <si>
    <t>0211</t>
  </si>
  <si>
    <t>0209</t>
  </si>
  <si>
    <t>0208</t>
  </si>
  <si>
    <t>0205</t>
  </si>
  <si>
    <t>0204</t>
  </si>
  <si>
    <t>0201</t>
  </si>
  <si>
    <t>0200</t>
  </si>
  <si>
    <t>0199</t>
  </si>
  <si>
    <t>0198</t>
  </si>
  <si>
    <t>0197</t>
  </si>
  <si>
    <t>0196</t>
  </si>
  <si>
    <t>0194</t>
  </si>
  <si>
    <t>0193</t>
  </si>
  <si>
    <t>0192</t>
  </si>
  <si>
    <t>0191</t>
  </si>
  <si>
    <t>0190</t>
  </si>
  <si>
    <t>0189</t>
  </si>
  <si>
    <t>0186</t>
  </si>
  <si>
    <t>0184</t>
  </si>
  <si>
    <t>0182</t>
  </si>
  <si>
    <t>0178</t>
  </si>
  <si>
    <t>0175</t>
  </si>
  <si>
    <t>soja</t>
  </si>
  <si>
    <t>0174</t>
  </si>
  <si>
    <t>0173</t>
  </si>
  <si>
    <t>0172</t>
  </si>
  <si>
    <t>0171</t>
  </si>
  <si>
    <t>0149</t>
  </si>
  <si>
    <t>0132</t>
  </si>
  <si>
    <t>0127</t>
  </si>
  <si>
    <t>0119</t>
  </si>
  <si>
    <t>0118</t>
  </si>
  <si>
    <t>0117</t>
  </si>
  <si>
    <t>0116</t>
  </si>
  <si>
    <t>0115</t>
  </si>
  <si>
    <t>0113</t>
  </si>
  <si>
    <t>0112</t>
  </si>
  <si>
    <t>0111</t>
  </si>
  <si>
    <t>0104</t>
  </si>
  <si>
    <t>milho</t>
  </si>
  <si>
    <t>0102</t>
  </si>
  <si>
    <t>0101</t>
  </si>
  <si>
    <t>0100</t>
  </si>
  <si>
    <t>0099</t>
  </si>
  <si>
    <t>0097</t>
  </si>
  <si>
    <t>0096</t>
  </si>
  <si>
    <t>0095</t>
  </si>
  <si>
    <t>0093</t>
  </si>
  <si>
    <t>0092</t>
  </si>
  <si>
    <t>0076</t>
  </si>
  <si>
    <t>0073</t>
  </si>
  <si>
    <t>0072</t>
  </si>
  <si>
    <t>0071</t>
  </si>
  <si>
    <t>0067</t>
  </si>
  <si>
    <t>0062</t>
  </si>
  <si>
    <t>0061</t>
  </si>
  <si>
    <t>0060</t>
  </si>
  <si>
    <t>0059</t>
  </si>
  <si>
    <t>0058</t>
  </si>
  <si>
    <t>0057</t>
  </si>
  <si>
    <t>0056</t>
  </si>
  <si>
    <t>0055</t>
  </si>
  <si>
    <t>0054</t>
  </si>
  <si>
    <t>0053</t>
  </si>
  <si>
    <t>0051</t>
  </si>
  <si>
    <t>0050</t>
  </si>
  <si>
    <t>0049</t>
  </si>
  <si>
    <t>0048</t>
  </si>
  <si>
    <t>0047</t>
  </si>
  <si>
    <t>0046</t>
  </si>
  <si>
    <t>0045</t>
  </si>
  <si>
    <t>0044</t>
  </si>
  <si>
    <t>0043</t>
  </si>
  <si>
    <t>0042</t>
  </si>
  <si>
    <t>0041</t>
  </si>
  <si>
    <t>0040</t>
  </si>
  <si>
    <t>0019</t>
  </si>
  <si>
    <t>0017</t>
  </si>
  <si>
    <t>0016</t>
  </si>
  <si>
    <t>0009</t>
  </si>
  <si>
    <t>0008</t>
  </si>
  <si>
    <t>0007</t>
  </si>
  <si>
    <t>0005</t>
  </si>
  <si>
    <t>GEO_X</t>
  </si>
  <si>
    <t>GEO_Y</t>
  </si>
  <si>
    <t>IPHONE_X</t>
  </si>
  <si>
    <t>IPHONE_Y</t>
  </si>
  <si>
    <t>GARMIN_X</t>
  </si>
  <si>
    <t>GARMIN_Y</t>
  </si>
  <si>
    <t>ANDROID_X</t>
  </si>
  <si>
    <t>ANDROID_Y</t>
  </si>
  <si>
    <t>ERRO_IPHONE_X</t>
  </si>
  <si>
    <t>ERRO_IPHONE_Y</t>
  </si>
  <si>
    <t>PT</t>
  </si>
  <si>
    <t>AREA</t>
  </si>
  <si>
    <t>ERRO_GARMIN_X</t>
  </si>
  <si>
    <t>ERRO_GARMIN_Y</t>
  </si>
  <si>
    <t>ERRO_ANDROID_X</t>
  </si>
  <si>
    <t>ERRO_ANDROID_Y</t>
  </si>
  <si>
    <t>ERRO_IPHONE_TOT</t>
  </si>
  <si>
    <t>ERRO_GARMIN_TOT</t>
  </si>
  <si>
    <t>ERRO_ANDROID_TOT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</si>
</sst>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"/>
  <sheetViews>
    <sheetView tabSelected="1" zoomScaleNormal="100" workbookViewId="0">
      <pane xSplit="1" topLeftCell="H1" activePane="topRight" state="frozen"/>
      <selection pane="topRight" activeCell="R1" sqref="R1:R1048576"/>
    </sheetView>
  </sheetViews>
  <sheetFormatPr defaultColWidth="11.5703125" defaultRowHeight="12.75" x14ac:dyDescent="0.2"/>
  <cols>
    <col min="1" max="1" width="5.5703125" bestFit="1" customWidth="1"/>
    <col min="2" max="2" width="8.42578125" bestFit="1" customWidth="1"/>
    <col min="3" max="3" width="16.7109375" style="1" customWidth="1"/>
    <col min="4" max="4" width="17.85546875" style="1" bestFit="1" customWidth="1"/>
    <col min="5" max="5" width="16.7109375" style="1" customWidth="1"/>
    <col min="6" max="6" width="17.85546875" style="1" bestFit="1" customWidth="1"/>
    <col min="7" max="7" width="16.7109375" style="1" customWidth="1"/>
    <col min="8" max="8" width="17.85546875" style="1" bestFit="1" customWidth="1"/>
    <col min="9" max="9" width="16.7109375" style="1" customWidth="1"/>
    <col min="10" max="10" width="17.85546875" style="1" bestFit="1" customWidth="1"/>
    <col min="11" max="11" width="18.7109375" bestFit="1" customWidth="1"/>
    <col min="12" max="12" width="19" bestFit="1" customWidth="1"/>
    <col min="13" max="13" width="20.140625" bestFit="1" customWidth="1"/>
    <col min="14" max="14" width="20.42578125" bestFit="1" customWidth="1"/>
    <col min="15" max="15" width="19" bestFit="1" customWidth="1"/>
    <col min="16" max="16" width="19.28515625" bestFit="1" customWidth="1"/>
    <col min="17" max="17" width="21.28515625" bestFit="1" customWidth="1"/>
    <col min="18" max="18" width="22.5703125" bestFit="1" customWidth="1"/>
    <col min="19" max="19" width="21.5703125" bestFit="1" customWidth="1"/>
  </cols>
  <sheetData>
    <row r="1" spans="1:19" x14ac:dyDescent="0.2">
      <c r="A1" t="s">
        <v>99</v>
      </c>
      <c r="B1" t="s">
        <v>100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95</v>
      </c>
      <c r="H1" s="1" t="s">
        <v>96</v>
      </c>
      <c r="I1" s="1" t="s">
        <v>93</v>
      </c>
      <c r="J1" s="1" t="s">
        <v>94</v>
      </c>
      <c r="K1" s="1" t="s">
        <v>97</v>
      </c>
      <c r="L1" s="1" t="s">
        <v>98</v>
      </c>
      <c r="M1" s="1" t="s">
        <v>103</v>
      </c>
      <c r="N1" s="1" t="s">
        <v>104</v>
      </c>
      <c r="O1" s="1" t="s">
        <v>101</v>
      </c>
      <c r="P1" s="1" t="s">
        <v>102</v>
      </c>
      <c r="Q1" s="1" t="s">
        <v>105</v>
      </c>
      <c r="R1" s="1" t="s">
        <v>107</v>
      </c>
      <c r="S1" s="1" t="s">
        <v>106</v>
      </c>
    </row>
    <row r="2" spans="1:19" x14ac:dyDescent="0.2">
      <c r="A2" s="2" t="s">
        <v>78</v>
      </c>
      <c r="B2" t="s">
        <v>28</v>
      </c>
      <c r="C2" s="1">
        <v>699996.89250723796</v>
      </c>
      <c r="D2" s="1">
        <v>8160152.2302397098</v>
      </c>
      <c r="E2" s="1">
        <v>700003.86477196403</v>
      </c>
      <c r="F2" s="1">
        <v>8160153.1042670701</v>
      </c>
      <c r="G2" s="1">
        <v>700004.03829212498</v>
      </c>
      <c r="H2" s="1">
        <v>8160154.1724930601</v>
      </c>
      <c r="I2" s="1">
        <v>699997.39950687403</v>
      </c>
      <c r="J2" s="1">
        <v>8160151.1467125099</v>
      </c>
      <c r="K2" s="1">
        <f>E2-$C2</f>
        <v>6.9722647260641679</v>
      </c>
      <c r="L2" s="1">
        <f>F2-$D2</f>
        <v>0.87402736023068428</v>
      </c>
      <c r="M2" s="1">
        <f t="shared" ref="M2:M33" si="0">G2-$C2</f>
        <v>7.1457848870195448</v>
      </c>
      <c r="N2" s="1">
        <f t="shared" ref="N2:N33" si="1">H2-$D2</f>
        <v>1.9422533502802253</v>
      </c>
      <c r="O2" s="1">
        <f>I2-$C2</f>
        <v>0.50699963606894016</v>
      </c>
      <c r="P2" s="1">
        <f>J2-$D2</f>
        <v>-1.0835271999239922</v>
      </c>
      <c r="Q2" s="1">
        <f>((K2^2)+(L2^2))^0.5</f>
        <v>7.0268342257911893</v>
      </c>
      <c r="R2" s="1">
        <f>((N2^2)+(M2^2))^0.5</f>
        <v>7.4050381314502154</v>
      </c>
      <c r="S2" s="1">
        <f>((P2^2)+(O2^2))^0.5</f>
        <v>1.1962774861833541</v>
      </c>
    </row>
    <row r="3" spans="1:19" x14ac:dyDescent="0.2">
      <c r="A3" s="2" t="s">
        <v>83</v>
      </c>
      <c r="B3" t="s">
        <v>28</v>
      </c>
      <c r="C3" s="1">
        <v>699786.51850721403</v>
      </c>
      <c r="D3" s="1">
        <v>8160118.0962397102</v>
      </c>
      <c r="E3" s="1">
        <v>699792.326807103</v>
      </c>
      <c r="F3" s="1">
        <v>8160115.4671391398</v>
      </c>
      <c r="G3" s="1">
        <v>699788.93708421395</v>
      </c>
      <c r="H3" s="1">
        <v>8160118.2302894099</v>
      </c>
      <c r="I3" s="1">
        <v>699788.78711775795</v>
      </c>
      <c r="J3" s="1">
        <v>8160116.6865931898</v>
      </c>
      <c r="K3" s="1">
        <f>E3-$C3</f>
        <v>5.8082998889731243</v>
      </c>
      <c r="L3" s="1">
        <f>F3-$D3</f>
        <v>-2.6291005704551935</v>
      </c>
      <c r="M3" s="1">
        <f t="shared" si="0"/>
        <v>2.4185769999166951</v>
      </c>
      <c r="N3" s="1">
        <f t="shared" si="1"/>
        <v>0.13404969964176416</v>
      </c>
      <c r="O3" s="1">
        <f>I3-$C3</f>
        <v>2.2686105439206585</v>
      </c>
      <c r="P3" s="1">
        <f>J3-$D3</f>
        <v>-1.4096465203911066</v>
      </c>
      <c r="Q3" s="1">
        <f>((K3^2)+(L3^2))^0.5</f>
        <v>6.3756189824842133</v>
      </c>
      <c r="R3" s="1">
        <f>((N3^2)+(M3^2))^0.5</f>
        <v>2.4222890055689246</v>
      </c>
      <c r="S3" s="1">
        <f>((P3^2)+(O3^2))^0.5</f>
        <v>2.6708981845886117</v>
      </c>
    </row>
    <row r="4" spans="1:19" x14ac:dyDescent="0.2">
      <c r="A4" s="2" t="s">
        <v>86</v>
      </c>
      <c r="B4" t="s">
        <v>28</v>
      </c>
      <c r="C4" s="1">
        <v>699712.65350720601</v>
      </c>
      <c r="D4" s="1">
        <v>8160189.6432397095</v>
      </c>
      <c r="E4" s="1">
        <v>699716.47433462599</v>
      </c>
      <c r="F4" s="1">
        <v>8160184.6246029902</v>
      </c>
      <c r="G4" s="1">
        <v>699715.70528335602</v>
      </c>
      <c r="H4" s="1">
        <v>8160184.62556554</v>
      </c>
      <c r="I4" s="1">
        <v>699714.01563373895</v>
      </c>
      <c r="J4" s="1">
        <v>8160188.2218887601</v>
      </c>
      <c r="K4" s="1">
        <f>E4-$C4</f>
        <v>3.820827419986017</v>
      </c>
      <c r="L4" s="1">
        <f>F4-$D4</f>
        <v>-5.0186367193236947</v>
      </c>
      <c r="M4" s="1">
        <f t="shared" si="0"/>
        <v>3.0517761500086635</v>
      </c>
      <c r="N4" s="1">
        <f t="shared" si="1"/>
        <v>-5.0176741695031524</v>
      </c>
      <c r="O4" s="1">
        <f>I4-$C4</f>
        <v>1.3621265329420567</v>
      </c>
      <c r="P4" s="1">
        <f>J4-$D4</f>
        <v>-1.4213509494438767</v>
      </c>
      <c r="Q4" s="1">
        <f>((K4^2)+(L4^2))^0.5</f>
        <v>6.3075697930233874</v>
      </c>
      <c r="R4" s="1">
        <f>((N4^2)+(M4^2))^0.5</f>
        <v>5.872852095963327</v>
      </c>
      <c r="S4" s="1">
        <f>((P4^2)+(O4^2))^0.5</f>
        <v>1.9686612743765133</v>
      </c>
    </row>
    <row r="5" spans="1:19" x14ac:dyDescent="0.2">
      <c r="A5" s="2" t="s">
        <v>77</v>
      </c>
      <c r="B5" t="s">
        <v>28</v>
      </c>
      <c r="C5" s="1">
        <v>700019.53050723998</v>
      </c>
      <c r="D5" s="1">
        <v>8160177.8432397097</v>
      </c>
      <c r="E5" s="1">
        <v>700025.63094672002</v>
      </c>
      <c r="F5" s="1">
        <v>8160178.21033209</v>
      </c>
      <c r="G5" s="1">
        <v>700020.34680871596</v>
      </c>
      <c r="H5" s="1">
        <v>8160177.5835746601</v>
      </c>
      <c r="I5" s="1">
        <v>700021.64270162</v>
      </c>
      <c r="J5" s="1">
        <v>8160176.1547179902</v>
      </c>
      <c r="K5" s="1">
        <f>E5-$C5</f>
        <v>6.1004394800402224</v>
      </c>
      <c r="L5" s="1">
        <f>F5-$D5</f>
        <v>0.36709238030016422</v>
      </c>
      <c r="M5" s="1">
        <f t="shared" si="0"/>
        <v>0.81630147597752512</v>
      </c>
      <c r="N5" s="1">
        <f t="shared" si="1"/>
        <v>-0.25966504961252213</v>
      </c>
      <c r="O5" s="1">
        <f>I5-$C5</f>
        <v>2.112194380024448</v>
      </c>
      <c r="P5" s="1">
        <f>J5-$D5</f>
        <v>-1.6885217195376754</v>
      </c>
      <c r="Q5" s="1">
        <f>((K5^2)+(L5^2))^0.5</f>
        <v>6.1114743446494035</v>
      </c>
      <c r="R5" s="1">
        <f>((N5^2)+(M5^2))^0.5</f>
        <v>0.85660611582766544</v>
      </c>
      <c r="S5" s="1">
        <f>((P5^2)+(O5^2))^0.5</f>
        <v>2.7041580383471175</v>
      </c>
    </row>
    <row r="6" spans="1:19" x14ac:dyDescent="0.2">
      <c r="A6" s="2" t="s">
        <v>74</v>
      </c>
      <c r="B6" t="s">
        <v>28</v>
      </c>
      <c r="C6" s="1">
        <v>700102.00450724806</v>
      </c>
      <c r="D6" s="1">
        <v>8160289.95823971</v>
      </c>
      <c r="E6" s="1">
        <v>700108.01227382</v>
      </c>
      <c r="F6" s="1">
        <v>8160290.8892391501</v>
      </c>
      <c r="G6" s="1">
        <v>700102.73038910201</v>
      </c>
      <c r="H6" s="1">
        <v>8160289.8196766404</v>
      </c>
      <c r="I6" s="1">
        <v>700103.36369300995</v>
      </c>
      <c r="J6" s="1">
        <v>8160288.2830257202</v>
      </c>
      <c r="K6" s="1">
        <f>E6-$C6</f>
        <v>6.0077665719436482</v>
      </c>
      <c r="L6" s="1">
        <f>F6-$D6</f>
        <v>0.93099944014102221</v>
      </c>
      <c r="M6" s="1">
        <f t="shared" si="0"/>
        <v>0.72588185395579785</v>
      </c>
      <c r="N6" s="1">
        <f t="shared" si="1"/>
        <v>-0.13856306951493025</v>
      </c>
      <c r="O6" s="1">
        <f>I6-$C6</f>
        <v>1.3591857618885115</v>
      </c>
      <c r="P6" s="1">
        <f>J6-$D6</f>
        <v>-1.6752139898017049</v>
      </c>
      <c r="Q6" s="1">
        <f>((K6^2)+(L6^2))^0.5</f>
        <v>6.0794752356191433</v>
      </c>
      <c r="R6" s="1">
        <f>((N6^2)+(M6^2))^0.5</f>
        <v>0.73898862652662367</v>
      </c>
      <c r="S6" s="1">
        <f>((P6^2)+(O6^2))^0.5</f>
        <v>2.1572500659283338</v>
      </c>
    </row>
    <row r="7" spans="1:19" x14ac:dyDescent="0.2">
      <c r="A7" s="2" t="s">
        <v>30</v>
      </c>
      <c r="B7" t="s">
        <v>28</v>
      </c>
      <c r="C7" s="1">
        <v>699516.34250718297</v>
      </c>
      <c r="D7" s="1">
        <v>8160420.6262397096</v>
      </c>
      <c r="E7" s="1">
        <v>699516.16765899002</v>
      </c>
      <c r="F7" s="1">
        <v>8160414.6548019899</v>
      </c>
      <c r="G7" s="1">
        <v>699515.15640797804</v>
      </c>
      <c r="H7" s="1">
        <v>8160416.99408268</v>
      </c>
      <c r="I7" s="1">
        <v>699517.16790778202</v>
      </c>
      <c r="J7" s="1">
        <v>8160419.1711799102</v>
      </c>
      <c r="K7" s="1">
        <f>E7-$C7</f>
        <v>-0.17484819295350462</v>
      </c>
      <c r="L7" s="1">
        <f>F7-$D7</f>
        <v>-5.9714377196505666</v>
      </c>
      <c r="M7" s="1">
        <f t="shared" si="0"/>
        <v>-1.1860992049332708</v>
      </c>
      <c r="N7" s="1">
        <f t="shared" si="1"/>
        <v>-3.6321570295840502</v>
      </c>
      <c r="O7" s="1">
        <f>I7-$C7</f>
        <v>0.82540059904567897</v>
      </c>
      <c r="P7" s="1">
        <f>J7-$D7</f>
        <v>-1.4550597993656993</v>
      </c>
      <c r="Q7" s="1">
        <f>((K7^2)+(L7^2))^0.5</f>
        <v>5.9739970145828378</v>
      </c>
      <c r="R7" s="1">
        <f>((N7^2)+(M7^2))^0.5</f>
        <v>3.8209155985836913</v>
      </c>
      <c r="S7" s="1">
        <f>((P7^2)+(O7^2))^0.5</f>
        <v>1.6728673493840194</v>
      </c>
    </row>
    <row r="8" spans="1:19" x14ac:dyDescent="0.2">
      <c r="A8" s="2" t="s">
        <v>75</v>
      </c>
      <c r="B8" t="s">
        <v>28</v>
      </c>
      <c r="C8" s="1">
        <v>700077.06050724501</v>
      </c>
      <c r="D8" s="1">
        <v>8160251.1692397101</v>
      </c>
      <c r="E8" s="1">
        <v>700082.26474929799</v>
      </c>
      <c r="F8" s="1">
        <v>8160254.0790013196</v>
      </c>
      <c r="G8" s="1">
        <v>700079.46902591805</v>
      </c>
      <c r="H8" s="1">
        <v>8160249.59501159</v>
      </c>
      <c r="I8" s="1">
        <v>700077.71127893799</v>
      </c>
      <c r="J8" s="1">
        <v>8160249.5638955198</v>
      </c>
      <c r="K8" s="1">
        <f>E8-$C8</f>
        <v>5.204242052976042</v>
      </c>
      <c r="L8" s="1">
        <f>F8-$D8</f>
        <v>2.9097616095095873</v>
      </c>
      <c r="M8" s="1">
        <f t="shared" si="0"/>
        <v>2.4085186730371788</v>
      </c>
      <c r="N8" s="1">
        <f t="shared" si="1"/>
        <v>-1.5742281200364232</v>
      </c>
      <c r="O8" s="1">
        <f>I8-$C8</f>
        <v>0.65077169297728688</v>
      </c>
      <c r="P8" s="1">
        <f>J8-$D8</f>
        <v>-1.6053441902622581</v>
      </c>
      <c r="Q8" s="1">
        <f>((K8^2)+(L8^2))^0.5</f>
        <v>5.9624531838950414</v>
      </c>
      <c r="R8" s="1">
        <f>((N8^2)+(M8^2))^0.5</f>
        <v>2.877352319804126</v>
      </c>
      <c r="S8" s="1">
        <f>((P8^2)+(O8^2))^0.5</f>
        <v>1.7322337502742835</v>
      </c>
    </row>
    <row r="9" spans="1:19" x14ac:dyDescent="0.2">
      <c r="A9" s="2" t="s">
        <v>55</v>
      </c>
      <c r="B9" t="s">
        <v>45</v>
      </c>
      <c r="C9" s="1">
        <v>700152.99850725394</v>
      </c>
      <c r="D9" s="1">
        <v>8160248.6212397097</v>
      </c>
      <c r="E9" s="1">
        <v>700157.16656970803</v>
      </c>
      <c r="F9" s="1">
        <v>8160244.9761423096</v>
      </c>
      <c r="G9" s="1">
        <v>700153.20065809204</v>
      </c>
      <c r="H9" s="1">
        <v>8160245.3409294197</v>
      </c>
      <c r="I9" s="1">
        <v>700153.77593135997</v>
      </c>
      <c r="J9" s="1">
        <v>8160247.7439474696</v>
      </c>
      <c r="K9" s="1">
        <f>E9-$C9</f>
        <v>4.1680624540895224</v>
      </c>
      <c r="L9" s="1">
        <f>F9-$D9</f>
        <v>-3.6450974000617862</v>
      </c>
      <c r="M9" s="1">
        <f t="shared" si="0"/>
        <v>0.20215083810035139</v>
      </c>
      <c r="N9" s="1">
        <f t="shared" si="1"/>
        <v>-3.2803102899342775</v>
      </c>
      <c r="O9" s="1">
        <f>I9-$C9</f>
        <v>0.77742410602513701</v>
      </c>
      <c r="P9" s="1">
        <f>J9-$D9</f>
        <v>-0.87729224003851414</v>
      </c>
      <c r="Q9" s="1">
        <f>((K9^2)+(L9^2))^0.5</f>
        <v>5.5371002950215704</v>
      </c>
      <c r="R9" s="1">
        <f>((N9^2)+(M9^2))^0.5</f>
        <v>3.2865332129149976</v>
      </c>
      <c r="S9" s="1">
        <f>((P9^2)+(O9^2))^0.5</f>
        <v>1.1721902213637414</v>
      </c>
    </row>
    <row r="10" spans="1:19" x14ac:dyDescent="0.2">
      <c r="A10" s="2" t="s">
        <v>63</v>
      </c>
      <c r="B10" t="s">
        <v>45</v>
      </c>
      <c r="C10" s="1">
        <v>700246.58950726304</v>
      </c>
      <c r="D10" s="1">
        <v>8160432.7832397204</v>
      </c>
      <c r="E10" s="1">
        <v>700250.49289750506</v>
      </c>
      <c r="F10" s="1">
        <v>8160428.8572281003</v>
      </c>
      <c r="G10" s="1">
        <v>700248.252716569</v>
      </c>
      <c r="H10" s="1">
        <v>8160431.0914811501</v>
      </c>
      <c r="I10" s="1">
        <v>700249.60729756299</v>
      </c>
      <c r="J10" s="1">
        <v>8160430.6858575204</v>
      </c>
      <c r="K10" s="1">
        <f>E10-$C10</f>
        <v>3.9033902420196682</v>
      </c>
      <c r="L10" s="1">
        <f>F10-$D10</f>
        <v>-3.9260116200894117</v>
      </c>
      <c r="M10" s="1">
        <f t="shared" si="0"/>
        <v>1.6632093059597537</v>
      </c>
      <c r="N10" s="1">
        <f t="shared" si="1"/>
        <v>-1.6917585702612996</v>
      </c>
      <c r="O10" s="1">
        <f>I10-$C10</f>
        <v>3.0177902999566868</v>
      </c>
      <c r="P10" s="1">
        <f>J10-$D10</f>
        <v>-2.0973821999505162</v>
      </c>
      <c r="Q10" s="1">
        <f>((K10^2)+(L10^2))^0.5</f>
        <v>5.5362462573996334</v>
      </c>
      <c r="R10" s="1">
        <f>((N10^2)+(M10^2))^0.5</f>
        <v>2.3724064271291465</v>
      </c>
      <c r="S10" s="1">
        <f>((P10^2)+(O10^2))^0.5</f>
        <v>3.67506059639592</v>
      </c>
    </row>
    <row r="11" spans="1:19" x14ac:dyDescent="0.2">
      <c r="A11" s="2" t="s">
        <v>62</v>
      </c>
      <c r="B11" t="s">
        <v>45</v>
      </c>
      <c r="C11" s="1">
        <v>700256.73150726396</v>
      </c>
      <c r="D11" s="1">
        <v>8160424.0062397197</v>
      </c>
      <c r="E11" s="1">
        <v>700262.19539105205</v>
      </c>
      <c r="F11" s="1">
        <v>8160423.5064711496</v>
      </c>
      <c r="G11" s="1">
        <v>700257.06049307901</v>
      </c>
      <c r="H11" s="1">
        <v>8160420.8693914404</v>
      </c>
      <c r="I11" s="1">
        <v>700257.950273172</v>
      </c>
      <c r="J11" s="1">
        <v>8160421.4210889498</v>
      </c>
      <c r="K11" s="1">
        <f>E11-$C11</f>
        <v>5.4638837880920619</v>
      </c>
      <c r="L11" s="1">
        <f>F11-$D11</f>
        <v>-0.49976857006549835</v>
      </c>
      <c r="M11" s="1">
        <f t="shared" si="0"/>
        <v>0.32898581505287439</v>
      </c>
      <c r="N11" s="1">
        <f t="shared" si="1"/>
        <v>-3.1368482792750001</v>
      </c>
      <c r="O11" s="1">
        <f>I11-$C11</f>
        <v>1.2187659080373123</v>
      </c>
      <c r="P11" s="1">
        <f>J11-$D11</f>
        <v>-2.5851507699117064</v>
      </c>
      <c r="Q11" s="1">
        <f>((K11^2)+(L11^2))^0.5</f>
        <v>5.486692507640698</v>
      </c>
      <c r="R11" s="1">
        <f>((N11^2)+(M11^2))^0.5</f>
        <v>3.1540527569615149</v>
      </c>
      <c r="S11" s="1">
        <f>((P11^2)+(O11^2))^0.5</f>
        <v>2.8580403849087057</v>
      </c>
    </row>
    <row r="12" spans="1:19" x14ac:dyDescent="0.2">
      <c r="A12" s="2" t="s">
        <v>7</v>
      </c>
      <c r="B12" t="s">
        <v>1</v>
      </c>
      <c r="C12" s="1">
        <v>700350.54450727999</v>
      </c>
      <c r="D12" s="1">
        <v>8159674.7442397196</v>
      </c>
      <c r="E12" s="1">
        <v>700351.21376266901</v>
      </c>
      <c r="F12" s="1">
        <v>8159680.1724431003</v>
      </c>
      <c r="G12" s="1">
        <v>700350.44202621002</v>
      </c>
      <c r="H12" s="1">
        <v>8159675.0667009801</v>
      </c>
      <c r="I12" s="1">
        <v>700350.37789312599</v>
      </c>
      <c r="J12" s="1">
        <v>8159673.2366410997</v>
      </c>
      <c r="K12" s="1">
        <f>E12-$C12</f>
        <v>0.66925538901705295</v>
      </c>
      <c r="L12" s="1">
        <f>F12-$D12</f>
        <v>5.4282033806666732</v>
      </c>
      <c r="M12" s="1">
        <f t="shared" si="0"/>
        <v>-0.10248106997460127</v>
      </c>
      <c r="N12" s="1">
        <f t="shared" si="1"/>
        <v>0.32246126048266888</v>
      </c>
      <c r="O12" s="1">
        <f>I12-$C12</f>
        <v>-0.16661415400449187</v>
      </c>
      <c r="P12" s="1">
        <f>J12-$D12</f>
        <v>-1.5075986199080944</v>
      </c>
      <c r="Q12" s="1">
        <f>((K12^2)+(L12^2))^0.5</f>
        <v>5.4693047746134482</v>
      </c>
      <c r="R12" s="1">
        <f>((N12^2)+(M12^2))^0.5</f>
        <v>0.33835430278808448</v>
      </c>
      <c r="S12" s="1">
        <f>((P12^2)+(O12^2))^0.5</f>
        <v>1.5167774639225833</v>
      </c>
    </row>
    <row r="13" spans="1:19" x14ac:dyDescent="0.2">
      <c r="A13" s="2" t="s">
        <v>21</v>
      </c>
      <c r="B13" t="s">
        <v>1</v>
      </c>
      <c r="C13" s="1">
        <v>700140.42050725606</v>
      </c>
      <c r="D13" s="1">
        <v>8159734.3952397099</v>
      </c>
      <c r="E13" s="1">
        <v>700141.95369879506</v>
      </c>
      <c r="F13" s="1">
        <v>8159739.5152334198</v>
      </c>
      <c r="G13" s="1">
        <v>700139.97422305599</v>
      </c>
      <c r="H13" s="1">
        <v>8159733.0739984103</v>
      </c>
      <c r="I13" s="1">
        <v>700140.52380219498</v>
      </c>
      <c r="J13" s="1">
        <v>8159733.5348097198</v>
      </c>
      <c r="K13" s="1">
        <f>E13-$C13</f>
        <v>1.5331915389979258</v>
      </c>
      <c r="L13" s="1">
        <f>F13-$D13</f>
        <v>5.1199937099590898</v>
      </c>
      <c r="M13" s="1">
        <f t="shared" si="0"/>
        <v>-0.44628420006483793</v>
      </c>
      <c r="N13" s="1">
        <f t="shared" si="1"/>
        <v>-1.3212412996217608</v>
      </c>
      <c r="O13" s="1">
        <f>I13-$C13</f>
        <v>0.10329493891913444</v>
      </c>
      <c r="P13" s="1">
        <f>J13-$D13</f>
        <v>-0.86042999010533094</v>
      </c>
      <c r="Q13" s="1">
        <f>((K13^2)+(L13^2))^0.5</f>
        <v>5.344624578515826</v>
      </c>
      <c r="R13" s="1">
        <f>((N13^2)+(M13^2))^0.5</f>
        <v>1.3945781294189694</v>
      </c>
      <c r="S13" s="1">
        <f>((P13^2)+(O13^2))^0.5</f>
        <v>0.86660810766976304</v>
      </c>
    </row>
    <row r="14" spans="1:19" x14ac:dyDescent="0.2">
      <c r="A14" s="2" t="s">
        <v>23</v>
      </c>
      <c r="B14" t="s">
        <v>1</v>
      </c>
      <c r="C14" s="1">
        <v>700144.54250725696</v>
      </c>
      <c r="D14" s="1">
        <v>8159793.0602397099</v>
      </c>
      <c r="E14" s="1">
        <v>700141.26938944904</v>
      </c>
      <c r="F14" s="1">
        <v>8159797.0863826703</v>
      </c>
      <c r="G14" s="1">
        <v>700144.16050712997</v>
      </c>
      <c r="H14" s="1">
        <v>8159792.2622248204</v>
      </c>
      <c r="I14" s="1">
        <v>700144.18159226899</v>
      </c>
      <c r="J14" s="1">
        <v>8159793.60015749</v>
      </c>
      <c r="K14" s="1">
        <f>E14-$C14</f>
        <v>-3.2731178079266101</v>
      </c>
      <c r="L14" s="1">
        <f>F14-$D14</f>
        <v>4.0261429604142904</v>
      </c>
      <c r="M14" s="1">
        <f t="shared" si="0"/>
        <v>-0.38200012699235231</v>
      </c>
      <c r="N14" s="1">
        <f t="shared" si="1"/>
        <v>-0.79801488947123289</v>
      </c>
      <c r="O14" s="1">
        <f>I14-$C14</f>
        <v>-0.36091498797759414</v>
      </c>
      <c r="P14" s="1">
        <f>J14-$D14</f>
        <v>0.53991778008639812</v>
      </c>
      <c r="Q14" s="1">
        <f>((K14^2)+(L14^2))^0.5</f>
        <v>5.1887500732122227</v>
      </c>
      <c r="R14" s="1">
        <f>((N14^2)+(M14^2))^0.5</f>
        <v>0.88473264935796125</v>
      </c>
      <c r="S14" s="1">
        <f>((P14^2)+(O14^2))^0.5</f>
        <v>0.64943886378957272</v>
      </c>
    </row>
    <row r="15" spans="1:19" x14ac:dyDescent="0.2">
      <c r="A15" s="2" t="s">
        <v>79</v>
      </c>
      <c r="B15" t="s">
        <v>28</v>
      </c>
      <c r="C15" s="1">
        <v>699972.76150723395</v>
      </c>
      <c r="D15" s="1">
        <v>8160127.2272397103</v>
      </c>
      <c r="E15" s="1">
        <v>699970.81910644798</v>
      </c>
      <c r="F15" s="1">
        <v>8160122.52428558</v>
      </c>
      <c r="G15" s="1">
        <v>699972.88610078604</v>
      </c>
      <c r="H15" s="1">
        <v>8160125.6509020496</v>
      </c>
      <c r="I15" s="1">
        <v>699974.54964329</v>
      </c>
      <c r="J15" s="1">
        <v>8160126.7897144798</v>
      </c>
      <c r="K15" s="1">
        <f>E15-$C15</f>
        <v>-1.9424007859779522</v>
      </c>
      <c r="L15" s="1">
        <f>F15-$D15</f>
        <v>-4.7029541302472353</v>
      </c>
      <c r="M15" s="1">
        <f t="shared" si="0"/>
        <v>0.12459355208557099</v>
      </c>
      <c r="N15" s="1">
        <f t="shared" si="1"/>
        <v>-1.5763376606628299</v>
      </c>
      <c r="O15" s="1">
        <f>I15-$C15</f>
        <v>1.7881360560422763</v>
      </c>
      <c r="P15" s="1">
        <f>J15-$D15</f>
        <v>-0.43752523045986891</v>
      </c>
      <c r="Q15" s="1">
        <f>((K15^2)+(L15^2))^0.5</f>
        <v>5.0882903184249715</v>
      </c>
      <c r="R15" s="1">
        <f>((N15^2)+(M15^2))^0.5</f>
        <v>1.5812539244679404</v>
      </c>
      <c r="S15" s="1">
        <f>((P15^2)+(O15^2))^0.5</f>
        <v>1.8408853528146147</v>
      </c>
    </row>
    <row r="16" spans="1:19" x14ac:dyDescent="0.2">
      <c r="A16" s="2" t="s">
        <v>60</v>
      </c>
      <c r="B16" t="s">
        <v>45</v>
      </c>
      <c r="C16" s="1">
        <v>700264.06250726397</v>
      </c>
      <c r="D16" s="1">
        <v>8160410.0852397196</v>
      </c>
      <c r="E16" s="1">
        <v>700268.95729509299</v>
      </c>
      <c r="F16" s="1">
        <v>8160408.7571478495</v>
      </c>
      <c r="G16" s="1">
        <v>700265.812268671</v>
      </c>
      <c r="H16" s="1">
        <v>8160409.1148937196</v>
      </c>
      <c r="I16" s="1">
        <v>700266.04039101396</v>
      </c>
      <c r="J16" s="1">
        <v>8160407.9528190596</v>
      </c>
      <c r="K16" s="1">
        <f>E16-$C16</f>
        <v>4.8947878290200606</v>
      </c>
      <c r="L16" s="1">
        <f>F16-$D16</f>
        <v>-1.3280918700620532</v>
      </c>
      <c r="M16" s="1">
        <f t="shared" si="0"/>
        <v>1.7497614070307463</v>
      </c>
      <c r="N16" s="1">
        <f t="shared" si="1"/>
        <v>-0.97034600004553795</v>
      </c>
      <c r="O16" s="1">
        <f>I16-$C16</f>
        <v>1.977883749990724</v>
      </c>
      <c r="P16" s="1">
        <f>J16-$D16</f>
        <v>-2.1324206599965692</v>
      </c>
      <c r="Q16" s="1">
        <f>((K16^2)+(L16^2))^0.5</f>
        <v>5.07176260351841</v>
      </c>
      <c r="R16" s="1">
        <f>((N16^2)+(M16^2))^0.5</f>
        <v>2.0008089217460503</v>
      </c>
      <c r="S16" s="1">
        <f>((P16^2)+(O16^2))^0.5</f>
        <v>2.9084776085879658</v>
      </c>
    </row>
    <row r="17" spans="1:19" x14ac:dyDescent="0.2">
      <c r="A17" s="2" t="s">
        <v>56</v>
      </c>
      <c r="B17" t="s">
        <v>45</v>
      </c>
      <c r="C17" s="1">
        <v>700175.10050725599</v>
      </c>
      <c r="D17" s="1">
        <v>8160290.7952397196</v>
      </c>
      <c r="E17" s="1">
        <v>700179.565287982</v>
      </c>
      <c r="F17" s="1">
        <v>8160288.6961800596</v>
      </c>
      <c r="G17" s="1">
        <v>700176.94443428202</v>
      </c>
      <c r="H17" s="1">
        <v>8160290.5670952303</v>
      </c>
      <c r="I17" s="1">
        <v>700176.25870898599</v>
      </c>
      <c r="J17" s="1">
        <v>8160289.8131493898</v>
      </c>
      <c r="K17" s="1">
        <f>E17-$C17</f>
        <v>4.4647807260043919</v>
      </c>
      <c r="L17" s="1">
        <f>F17-$D17</f>
        <v>-2.0990596599876881</v>
      </c>
      <c r="M17" s="1">
        <f t="shared" si="0"/>
        <v>1.8439270260278136</v>
      </c>
      <c r="N17" s="1">
        <f t="shared" si="1"/>
        <v>-0.22814448922872543</v>
      </c>
      <c r="O17" s="1">
        <f>I17-$C17</f>
        <v>1.1582017299951985</v>
      </c>
      <c r="P17" s="1">
        <f>J17-$D17</f>
        <v>-0.98209032975137234</v>
      </c>
      <c r="Q17" s="1">
        <f>((K17^2)+(L17^2))^0.5</f>
        <v>4.9335908208411379</v>
      </c>
      <c r="R17" s="1">
        <f>((N17^2)+(M17^2))^0.5</f>
        <v>1.8579872941657092</v>
      </c>
      <c r="S17" s="1">
        <f>((P17^2)+(O17^2))^0.5</f>
        <v>1.5185297702564247</v>
      </c>
    </row>
    <row r="18" spans="1:19" x14ac:dyDescent="0.2">
      <c r="A18" s="2" t="s">
        <v>40</v>
      </c>
      <c r="B18" t="s">
        <v>28</v>
      </c>
      <c r="C18" s="1">
        <v>700310.43550726899</v>
      </c>
      <c r="D18" s="1">
        <v>8160565.4622397199</v>
      </c>
      <c r="E18" s="1">
        <v>700314.01136001304</v>
      </c>
      <c r="F18" s="1">
        <v>8160562.1666232198</v>
      </c>
      <c r="G18" s="1">
        <v>700310.80068355298</v>
      </c>
      <c r="H18" s="1">
        <v>8160563.3824702799</v>
      </c>
      <c r="I18" s="1">
        <v>700311.67966331297</v>
      </c>
      <c r="J18" s="1">
        <v>8160563.80587795</v>
      </c>
      <c r="K18" s="1">
        <f>E18-$C18</f>
        <v>3.5758527440484613</v>
      </c>
      <c r="L18" s="1">
        <f>F18-$D18</f>
        <v>-3.2956165000796318</v>
      </c>
      <c r="M18" s="1">
        <f t="shared" si="0"/>
        <v>0.365176283987239</v>
      </c>
      <c r="N18" s="1">
        <f t="shared" si="1"/>
        <v>-2.0797694399952888</v>
      </c>
      <c r="O18" s="1">
        <f>I18-$C18</f>
        <v>1.2441560439765453</v>
      </c>
      <c r="P18" s="1">
        <f>J18-$D18</f>
        <v>-1.6563617698848248</v>
      </c>
      <c r="Q18" s="1">
        <f>((K18^2)+(L18^2))^0.5</f>
        <v>4.8629014962999229</v>
      </c>
      <c r="R18" s="1">
        <f>((N18^2)+(M18^2))^0.5</f>
        <v>2.1115858121149245</v>
      </c>
      <c r="S18" s="1">
        <f>((P18^2)+(O18^2))^0.5</f>
        <v>2.0715835909997349</v>
      </c>
    </row>
    <row r="19" spans="1:19" x14ac:dyDescent="0.2">
      <c r="A19" s="2" t="s">
        <v>57</v>
      </c>
      <c r="B19" t="s">
        <v>45</v>
      </c>
      <c r="C19" s="1">
        <v>700177.36750725505</v>
      </c>
      <c r="D19" s="1">
        <v>8160299.2462397097</v>
      </c>
      <c r="E19" s="1">
        <v>700179.63447484095</v>
      </c>
      <c r="F19" s="1">
        <v>8160294.9897882398</v>
      </c>
      <c r="G19" s="1">
        <v>700178.99613603705</v>
      </c>
      <c r="H19" s="1">
        <v>8160295.4310880098</v>
      </c>
      <c r="I19" s="1">
        <v>700178.88587005006</v>
      </c>
      <c r="J19" s="1">
        <v>8160296.8720784299</v>
      </c>
      <c r="K19" s="1">
        <f>E19-$C19</f>
        <v>2.2669675858924165</v>
      </c>
      <c r="L19" s="1">
        <f>F19-$D19</f>
        <v>-4.2564514698460698</v>
      </c>
      <c r="M19" s="1">
        <f t="shared" si="0"/>
        <v>1.6286287819966674</v>
      </c>
      <c r="N19" s="1">
        <f t="shared" si="1"/>
        <v>-3.8151516998186707</v>
      </c>
      <c r="O19" s="1">
        <f>I19-$C19</f>
        <v>1.5183627950027585</v>
      </c>
      <c r="P19" s="1">
        <f>J19-$D19</f>
        <v>-2.3741612797603011</v>
      </c>
      <c r="Q19" s="1">
        <f>((K19^2)+(L19^2))^0.5</f>
        <v>4.8225015449081674</v>
      </c>
      <c r="R19" s="1">
        <f>((N19^2)+(M19^2))^0.5</f>
        <v>4.1482302494168817</v>
      </c>
      <c r="S19" s="1">
        <f>((P19^2)+(O19^2))^0.5</f>
        <v>2.8181673760729078</v>
      </c>
    </row>
    <row r="20" spans="1:19" x14ac:dyDescent="0.2">
      <c r="A20" s="2" t="s">
        <v>72</v>
      </c>
      <c r="B20" t="s">
        <v>28</v>
      </c>
      <c r="C20" s="1">
        <v>700136.12550725101</v>
      </c>
      <c r="D20" s="1">
        <v>8160341.3612397099</v>
      </c>
      <c r="E20" s="1">
        <v>700140.53832904901</v>
      </c>
      <c r="F20" s="1">
        <v>8160340.5646150596</v>
      </c>
      <c r="G20" s="1">
        <v>700136.86268297106</v>
      </c>
      <c r="H20" s="1">
        <v>8160341.7188286204</v>
      </c>
      <c r="I20" s="1">
        <v>700137.882644522</v>
      </c>
      <c r="J20" s="1">
        <v>8160339.4259225698</v>
      </c>
      <c r="K20" s="1">
        <f>E20-$C20</f>
        <v>4.4128217980032787</v>
      </c>
      <c r="L20" s="1">
        <f>F20-$D20</f>
        <v>-0.79662465024739504</v>
      </c>
      <c r="M20" s="1">
        <f t="shared" si="0"/>
        <v>0.73717572004534304</v>
      </c>
      <c r="N20" s="1">
        <f t="shared" si="1"/>
        <v>0.35758891049772501</v>
      </c>
      <c r="O20" s="1">
        <f>I20-$C20</f>
        <v>1.7571372709935531</v>
      </c>
      <c r="P20" s="1">
        <f>J20-$D20</f>
        <v>-1.9353171400725842</v>
      </c>
      <c r="Q20" s="1">
        <f>((K20^2)+(L20^2))^0.5</f>
        <v>4.4841506502697559</v>
      </c>
      <c r="R20" s="1">
        <f>((N20^2)+(M20^2))^0.5</f>
        <v>0.81932769459802834</v>
      </c>
      <c r="S20" s="1">
        <f>((P20^2)+(O20^2))^0.5</f>
        <v>2.6139976705753583</v>
      </c>
    </row>
    <row r="21" spans="1:19" x14ac:dyDescent="0.2">
      <c r="A21" s="2" t="s">
        <v>58</v>
      </c>
      <c r="B21" t="s">
        <v>45</v>
      </c>
      <c r="C21" s="1">
        <v>700195.58850725705</v>
      </c>
      <c r="D21" s="1">
        <v>8160327.4802397098</v>
      </c>
      <c r="E21" s="1">
        <v>700198.86628816603</v>
      </c>
      <c r="F21" s="1">
        <v>8160330.38881958</v>
      </c>
      <c r="G21" s="1">
        <v>700195.54652584298</v>
      </c>
      <c r="H21" s="1">
        <v>8160326.3959731702</v>
      </c>
      <c r="I21" s="1">
        <v>700195.81713935803</v>
      </c>
      <c r="J21" s="1">
        <v>8160327.26117214</v>
      </c>
      <c r="K21" s="1">
        <f>E21-$C21</f>
        <v>3.2777809089748189</v>
      </c>
      <c r="L21" s="1">
        <f>F21-$D21</f>
        <v>2.9085798701271415</v>
      </c>
      <c r="M21" s="1">
        <f t="shared" si="0"/>
        <v>-4.198141407687217E-2</v>
      </c>
      <c r="N21" s="1">
        <f t="shared" si="1"/>
        <v>-1.0842665396630764</v>
      </c>
      <c r="O21" s="1">
        <f>I21-$C21</f>
        <v>0.22863210097420961</v>
      </c>
      <c r="P21" s="1">
        <f>J21-$D21</f>
        <v>-0.21906756982207298</v>
      </c>
      <c r="Q21" s="1">
        <f>((K21^2)+(L21^2))^0.5</f>
        <v>4.3822008794838023</v>
      </c>
      <c r="R21" s="1">
        <f>((N21^2)+(M21^2))^0.5</f>
        <v>1.0850789686289359</v>
      </c>
      <c r="S21" s="1">
        <f>((P21^2)+(O21^2))^0.5</f>
        <v>0.31664370788574026</v>
      </c>
    </row>
    <row r="22" spans="1:19" x14ac:dyDescent="0.2">
      <c r="A22" s="2" t="s">
        <v>71</v>
      </c>
      <c r="B22" t="s">
        <v>28</v>
      </c>
      <c r="C22" s="1">
        <v>700145.98650725198</v>
      </c>
      <c r="D22" s="1">
        <v>8160355.8172397204</v>
      </c>
      <c r="E22" s="1">
        <v>700149.88373843301</v>
      </c>
      <c r="F22" s="1">
        <v>8160354.3108211299</v>
      </c>
      <c r="G22" s="1">
        <v>700144.19300506799</v>
      </c>
      <c r="H22" s="1">
        <v>8160361.6098828502</v>
      </c>
      <c r="I22" s="1">
        <v>700147.40900594404</v>
      </c>
      <c r="J22" s="1">
        <v>8160353.9464547597</v>
      </c>
      <c r="K22" s="1">
        <f>E22-$C22</f>
        <v>3.8972311810357496</v>
      </c>
      <c r="L22" s="1">
        <f>F22-$D22</f>
        <v>-1.5064185904338956</v>
      </c>
      <c r="M22" s="1">
        <f t="shared" si="0"/>
        <v>-1.7935021839803085</v>
      </c>
      <c r="N22" s="1">
        <f t="shared" si="1"/>
        <v>5.792643129825592</v>
      </c>
      <c r="O22" s="1">
        <f>I22-$C22</f>
        <v>1.4224986920598894</v>
      </c>
      <c r="P22" s="1">
        <f>J22-$D22</f>
        <v>-1.8707849606871605</v>
      </c>
      <c r="Q22" s="1">
        <f>((K22^2)+(L22^2))^0.5</f>
        <v>4.1782421959529996</v>
      </c>
      <c r="R22" s="1">
        <f>((N22^2)+(M22^2))^0.5</f>
        <v>6.063939685836079</v>
      </c>
      <c r="S22" s="1">
        <f>((P22^2)+(O22^2))^0.5</f>
        <v>2.3501784821679728</v>
      </c>
    </row>
    <row r="23" spans="1:19" x14ac:dyDescent="0.2">
      <c r="A23" s="2" t="s">
        <v>84</v>
      </c>
      <c r="B23" t="s">
        <v>28</v>
      </c>
      <c r="C23" s="1">
        <v>699777.98150721297</v>
      </c>
      <c r="D23" s="1">
        <v>8160131.4972397098</v>
      </c>
      <c r="E23" s="1">
        <v>699780.98196805001</v>
      </c>
      <c r="F23" s="1">
        <v>8160128.7445028303</v>
      </c>
      <c r="G23" s="1">
        <v>699780.36882897699</v>
      </c>
      <c r="H23" s="1">
        <v>8160129.6519260798</v>
      </c>
      <c r="I23" s="1">
        <v>699778.77839099395</v>
      </c>
      <c r="J23" s="1">
        <v>8160130.3939841101</v>
      </c>
      <c r="K23" s="1">
        <f>E23-$C23</f>
        <v>3.0004608370363712</v>
      </c>
      <c r="L23" s="1">
        <f>F23-$D23</f>
        <v>-2.7527368795126677</v>
      </c>
      <c r="M23" s="1">
        <f t="shared" si="0"/>
        <v>2.3873217640211806</v>
      </c>
      <c r="N23" s="1">
        <f t="shared" si="1"/>
        <v>-1.845313630066812</v>
      </c>
      <c r="O23" s="1">
        <f>I23-$C23</f>
        <v>0.79688378097489476</v>
      </c>
      <c r="P23" s="1">
        <f>J23-$D23</f>
        <v>-1.1032555997371674</v>
      </c>
      <c r="Q23" s="1">
        <f>((K23^2)+(L23^2))^0.5</f>
        <v>4.0718945912705227</v>
      </c>
      <c r="R23" s="1">
        <f>((N23^2)+(M23^2))^0.5</f>
        <v>3.0173643462928963</v>
      </c>
      <c r="S23" s="1">
        <f>((P23^2)+(O23^2))^0.5</f>
        <v>1.3609543264681077</v>
      </c>
    </row>
    <row r="24" spans="1:19" x14ac:dyDescent="0.2">
      <c r="A24" s="2" t="s">
        <v>12</v>
      </c>
      <c r="B24" t="s">
        <v>1</v>
      </c>
      <c r="C24" s="1">
        <v>700249.39250726998</v>
      </c>
      <c r="D24" s="1">
        <v>8159719.3672397099</v>
      </c>
      <c r="E24" s="1">
        <v>700253.432683917</v>
      </c>
      <c r="F24" s="1">
        <v>8159719.5125742499</v>
      </c>
      <c r="G24" s="1">
        <v>700248.36725025903</v>
      </c>
      <c r="H24" s="1">
        <v>8159717.2645712197</v>
      </c>
      <c r="I24" s="1">
        <v>700249.75797610194</v>
      </c>
      <c r="J24" s="1">
        <v>8159718.8962370502</v>
      </c>
      <c r="K24" s="1">
        <f>E24-$C24</f>
        <v>4.0401766470167786</v>
      </c>
      <c r="L24" s="1">
        <f>F24-$D24</f>
        <v>0.14533453993499279</v>
      </c>
      <c r="M24" s="1">
        <f t="shared" si="0"/>
        <v>-1.0252570109441876</v>
      </c>
      <c r="N24" s="1">
        <f t="shared" si="1"/>
        <v>-2.1026684902608395</v>
      </c>
      <c r="O24" s="1">
        <f>I24-$C24</f>
        <v>0.36546883196569979</v>
      </c>
      <c r="P24" s="1">
        <f>J24-$D24</f>
        <v>-0.47100265976041555</v>
      </c>
      <c r="Q24" s="1">
        <f>((K24^2)+(L24^2))^0.5</f>
        <v>4.0427898124436119</v>
      </c>
      <c r="R24" s="1">
        <f>((N24^2)+(M24^2))^0.5</f>
        <v>2.339309025850584</v>
      </c>
      <c r="S24" s="1">
        <f>((P24^2)+(O24^2))^0.5</f>
        <v>0.59616354521201542</v>
      </c>
    </row>
    <row r="25" spans="1:19" x14ac:dyDescent="0.2">
      <c r="A25" s="2" t="s">
        <v>85</v>
      </c>
      <c r="B25" t="s">
        <v>28</v>
      </c>
      <c r="C25" s="1">
        <v>699736.55150720896</v>
      </c>
      <c r="D25" s="1">
        <v>8160163.5202397099</v>
      </c>
      <c r="E25" s="1">
        <v>699739.27727524994</v>
      </c>
      <c r="F25" s="1">
        <v>8160160.6172840297</v>
      </c>
      <c r="G25" s="1">
        <v>699739.01556985499</v>
      </c>
      <c r="H25" s="1">
        <v>8160163.7998375697</v>
      </c>
      <c r="I25" s="1">
        <v>699737.674356765</v>
      </c>
      <c r="J25" s="1">
        <v>8160162.2119491799</v>
      </c>
      <c r="K25" s="1">
        <f>E25-$C25</f>
        <v>2.725768040982075</v>
      </c>
      <c r="L25" s="1">
        <f>F25-$D25</f>
        <v>-2.902955680154264</v>
      </c>
      <c r="M25" s="1">
        <f t="shared" si="0"/>
        <v>2.4640626460313797</v>
      </c>
      <c r="N25" s="1">
        <f t="shared" si="1"/>
        <v>0.27959785982966423</v>
      </c>
      <c r="O25" s="1">
        <f>I25-$C25</f>
        <v>1.1228495560353622</v>
      </c>
      <c r="P25" s="1">
        <f>J25-$D25</f>
        <v>-1.3082905299961567</v>
      </c>
      <c r="Q25" s="1">
        <f>((K25^2)+(L25^2))^0.5</f>
        <v>3.9820802470793031</v>
      </c>
      <c r="R25" s="1">
        <f>((N25^2)+(M25^2))^0.5</f>
        <v>2.4798749336989743</v>
      </c>
      <c r="S25" s="1">
        <f>((P25^2)+(O25^2))^0.5</f>
        <v>1.724069382700834</v>
      </c>
    </row>
    <row r="26" spans="1:19" x14ac:dyDescent="0.2">
      <c r="A26" s="2" t="s">
        <v>87</v>
      </c>
      <c r="B26" t="s">
        <v>28</v>
      </c>
      <c r="C26" s="1">
        <v>699697.47650720295</v>
      </c>
      <c r="D26" s="1">
        <v>8160207.6102397097</v>
      </c>
      <c r="E26" s="1">
        <v>699700.84036724805</v>
      </c>
      <c r="F26" s="1">
        <v>8160205.4868417103</v>
      </c>
      <c r="G26" s="1">
        <v>699699.32102125301</v>
      </c>
      <c r="H26" s="1">
        <v>8160206.4545287797</v>
      </c>
      <c r="I26" s="1">
        <v>699700.21958868497</v>
      </c>
      <c r="J26" s="1">
        <v>8160207.7200536504</v>
      </c>
      <c r="K26" s="1">
        <f>E26-$C26</f>
        <v>3.363860045094043</v>
      </c>
      <c r="L26" s="1">
        <f>F26-$D26</f>
        <v>-2.1233979994431138</v>
      </c>
      <c r="M26" s="1">
        <f t="shared" si="0"/>
        <v>1.8445140500552952</v>
      </c>
      <c r="N26" s="1">
        <f t="shared" si="1"/>
        <v>-1.1557109300047159</v>
      </c>
      <c r="O26" s="1">
        <f>I26-$C26</f>
        <v>2.7430814820108935</v>
      </c>
      <c r="P26" s="1">
        <f>J26-$D26</f>
        <v>0.10981394071131945</v>
      </c>
      <c r="Q26" s="1">
        <f>((K26^2)+(L26^2))^0.5</f>
        <v>3.9779861069414402</v>
      </c>
      <c r="R26" s="1">
        <f>((N26^2)+(M26^2))^0.5</f>
        <v>2.1766717333083907</v>
      </c>
      <c r="S26" s="1">
        <f>((P26^2)+(O26^2))^0.5</f>
        <v>2.7452786959661544</v>
      </c>
    </row>
    <row r="27" spans="1:19" x14ac:dyDescent="0.2">
      <c r="A27" s="2" t="s">
        <v>29</v>
      </c>
      <c r="B27" t="s">
        <v>28</v>
      </c>
      <c r="C27" s="1">
        <v>699529.69050718402</v>
      </c>
      <c r="D27" s="1">
        <v>8160404.0012397096</v>
      </c>
      <c r="E27" s="1">
        <v>699529.31347840396</v>
      </c>
      <c r="F27" s="1">
        <v>8160400.1277271397</v>
      </c>
      <c r="G27" s="1">
        <v>699528.51730953297</v>
      </c>
      <c r="H27" s="1">
        <v>8160399.6550892899</v>
      </c>
      <c r="I27" s="1">
        <v>699529.829903465</v>
      </c>
      <c r="J27" s="1">
        <v>8160403.8896247204</v>
      </c>
      <c r="K27" s="1">
        <f>E27-$C27</f>
        <v>-0.37702878005802631</v>
      </c>
      <c r="L27" s="1">
        <f>F27-$D27</f>
        <v>-3.8735125698149204</v>
      </c>
      <c r="M27" s="1">
        <f t="shared" si="0"/>
        <v>-1.1731976510491222</v>
      </c>
      <c r="N27" s="1">
        <f t="shared" si="1"/>
        <v>-4.3461504196748137</v>
      </c>
      <c r="O27" s="1">
        <f>I27-$C27</f>
        <v>0.13939628098160028</v>
      </c>
      <c r="P27" s="1">
        <f>J27-$D27</f>
        <v>-0.11161498911678791</v>
      </c>
      <c r="Q27" s="1">
        <f>((K27^2)+(L27^2))^0.5</f>
        <v>3.891818383417478</v>
      </c>
      <c r="R27" s="1">
        <f>((N27^2)+(M27^2))^0.5</f>
        <v>4.501712585102112</v>
      </c>
      <c r="S27" s="1">
        <f>((P27^2)+(O27^2))^0.5</f>
        <v>0.17857555528974825</v>
      </c>
    </row>
    <row r="28" spans="1:19" x14ac:dyDescent="0.2">
      <c r="A28" s="2" t="s">
        <v>76</v>
      </c>
      <c r="B28" t="s">
        <v>28</v>
      </c>
      <c r="C28" s="1">
        <v>700044.43350724201</v>
      </c>
      <c r="D28" s="1">
        <v>8160208.7122397097</v>
      </c>
      <c r="E28" s="1">
        <v>700047.83401195903</v>
      </c>
      <c r="F28" s="1">
        <v>8160207.1899926597</v>
      </c>
      <c r="G28" s="1">
        <v>700046.25615528598</v>
      </c>
      <c r="H28" s="1">
        <v>8160207.5311174504</v>
      </c>
      <c r="I28" s="1">
        <v>700046.58525732195</v>
      </c>
      <c r="J28" s="1">
        <v>8160207.4649449801</v>
      </c>
      <c r="K28" s="1">
        <f>E28-$C28</f>
        <v>3.4005047170212492</v>
      </c>
      <c r="L28" s="1">
        <f>F28-$D28</f>
        <v>-1.5222470499575138</v>
      </c>
      <c r="M28" s="1">
        <f t="shared" si="0"/>
        <v>1.8226480439770967</v>
      </c>
      <c r="N28" s="1">
        <f t="shared" si="1"/>
        <v>-1.1811222592368722</v>
      </c>
      <c r="O28" s="1">
        <f>I28-$C28</f>
        <v>2.1517500799382105</v>
      </c>
      <c r="P28" s="1">
        <f>J28-$D28</f>
        <v>-1.2472947295755148</v>
      </c>
      <c r="Q28" s="1">
        <f>((K28^2)+(L28^2))^0.5</f>
        <v>3.7256769064947273</v>
      </c>
      <c r="R28" s="1">
        <f>((N28^2)+(M28^2))^0.5</f>
        <v>2.1718875853686237</v>
      </c>
      <c r="S28" s="1">
        <f>((P28^2)+(O28^2))^0.5</f>
        <v>2.4871213378001791</v>
      </c>
    </row>
    <row r="29" spans="1:19" x14ac:dyDescent="0.2">
      <c r="A29" s="2" t="s">
        <v>42</v>
      </c>
      <c r="B29" t="s">
        <v>28</v>
      </c>
      <c r="C29" s="1">
        <v>700311.50650726899</v>
      </c>
      <c r="D29" s="1">
        <v>8160548.2062397199</v>
      </c>
      <c r="E29" s="1">
        <v>700314.95197510498</v>
      </c>
      <c r="F29" s="1">
        <v>8160549.6001596795</v>
      </c>
      <c r="G29" s="1">
        <v>700314.16199254</v>
      </c>
      <c r="H29" s="1">
        <v>8160547.8024942903</v>
      </c>
      <c r="I29" s="1">
        <v>700311.83672684699</v>
      </c>
      <c r="J29" s="1">
        <v>8160546.4275209298</v>
      </c>
      <c r="K29" s="1">
        <f>E29-$C29</f>
        <v>3.445467835990712</v>
      </c>
      <c r="L29" s="1">
        <f>F29-$D29</f>
        <v>1.3939199596643448</v>
      </c>
      <c r="M29" s="1">
        <f t="shared" si="0"/>
        <v>2.6554852710105479</v>
      </c>
      <c r="N29" s="1">
        <f t="shared" si="1"/>
        <v>-0.40374542959034443</v>
      </c>
      <c r="O29" s="1">
        <f>I29-$C29</f>
        <v>0.3302195779979229</v>
      </c>
      <c r="P29" s="1">
        <f>J29-$D29</f>
        <v>-1.7787187900394201</v>
      </c>
      <c r="Q29" s="1">
        <f>((K29^2)+(L29^2))^0.5</f>
        <v>3.7167541568951217</v>
      </c>
      <c r="R29" s="1">
        <f>((N29^2)+(M29^2))^0.5</f>
        <v>2.6860030522076954</v>
      </c>
      <c r="S29" s="1">
        <f>((P29^2)+(O29^2))^0.5</f>
        <v>1.809111799677517</v>
      </c>
    </row>
    <row r="30" spans="1:19" x14ac:dyDescent="0.2">
      <c r="A30" s="2" t="s">
        <v>88</v>
      </c>
      <c r="B30" t="s">
        <v>28</v>
      </c>
      <c r="C30" s="1">
        <v>699638.18314155203</v>
      </c>
      <c r="D30" s="1">
        <v>8160277.57096064</v>
      </c>
      <c r="E30" s="1">
        <v>699639.65279858303</v>
      </c>
      <c r="F30" s="1">
        <v>8160274.2330627404</v>
      </c>
      <c r="G30" s="1">
        <v>699640.78579076298</v>
      </c>
      <c r="H30" s="1">
        <v>8160276.2105805203</v>
      </c>
      <c r="I30" s="1">
        <v>699641.43236886198</v>
      </c>
      <c r="J30" s="1">
        <v>8160277.0025388096</v>
      </c>
      <c r="K30" s="1">
        <f>E30-$C30</f>
        <v>1.4696570310043171</v>
      </c>
      <c r="L30" s="1">
        <f>F30-$D30</f>
        <v>-3.3378978995606303</v>
      </c>
      <c r="M30" s="1">
        <f t="shared" si="0"/>
        <v>2.6026492109522223</v>
      </c>
      <c r="N30" s="1">
        <f t="shared" si="1"/>
        <v>-1.3603801196441054</v>
      </c>
      <c r="O30" s="1">
        <f>I30-$C30</f>
        <v>3.2492273099487647</v>
      </c>
      <c r="P30" s="1">
        <f>J30-$D30</f>
        <v>-0.56842183042317629</v>
      </c>
      <c r="Q30" s="1">
        <f>((K30^2)+(L30^2))^0.5</f>
        <v>3.6471158710235261</v>
      </c>
      <c r="R30" s="1">
        <f>((N30^2)+(M30^2))^0.5</f>
        <v>2.9367357704078754</v>
      </c>
      <c r="S30" s="1">
        <f>((P30^2)+(O30^2))^0.5</f>
        <v>3.2985726441930185</v>
      </c>
    </row>
    <row r="31" spans="1:19" x14ac:dyDescent="0.2">
      <c r="A31" s="2" t="s">
        <v>31</v>
      </c>
      <c r="B31" t="s">
        <v>28</v>
      </c>
      <c r="C31" s="1">
        <v>699502.00650718098</v>
      </c>
      <c r="D31" s="1">
        <v>8160436.7602397101</v>
      </c>
      <c r="E31" s="1">
        <v>699502.39811897301</v>
      </c>
      <c r="F31" s="1">
        <v>8160433.1460782103</v>
      </c>
      <c r="G31" s="1">
        <v>699500.67910127004</v>
      </c>
      <c r="H31" s="1">
        <v>8160433.1669667801</v>
      </c>
      <c r="I31" s="1">
        <v>699502.90646228101</v>
      </c>
      <c r="J31" s="1">
        <v>8160434.5783537803</v>
      </c>
      <c r="K31" s="1">
        <f>E31-$C31</f>
        <v>0.39161179203074425</v>
      </c>
      <c r="L31" s="1">
        <f>F31-$D31</f>
        <v>-3.6141614997759461</v>
      </c>
      <c r="M31" s="1">
        <f t="shared" si="0"/>
        <v>-1.3274059109389782</v>
      </c>
      <c r="N31" s="1">
        <f t="shared" si="1"/>
        <v>-3.5932729300111532</v>
      </c>
      <c r="O31" s="1">
        <f>I31-$C31</f>
        <v>0.89995510003063828</v>
      </c>
      <c r="P31" s="1">
        <f>J31-$D31</f>
        <v>-2.1818859297782183</v>
      </c>
      <c r="Q31" s="1">
        <f>((K31^2)+(L31^2))^0.5</f>
        <v>3.6353160993399527</v>
      </c>
      <c r="R31" s="1">
        <f>((N31^2)+(M31^2))^0.5</f>
        <v>3.8306157209966489</v>
      </c>
      <c r="S31" s="1">
        <f>((P31^2)+(O31^2))^0.5</f>
        <v>2.3602002865509775</v>
      </c>
    </row>
    <row r="32" spans="1:19" x14ac:dyDescent="0.2">
      <c r="A32" s="2" t="s">
        <v>19</v>
      </c>
      <c r="B32" t="s">
        <v>1</v>
      </c>
      <c r="C32" s="1">
        <v>700157.22250725899</v>
      </c>
      <c r="D32" s="1">
        <v>8159713.4742397098</v>
      </c>
      <c r="E32" s="1">
        <v>700157.37894023105</v>
      </c>
      <c r="F32" s="1">
        <v>8159717.0518271197</v>
      </c>
      <c r="G32" s="1">
        <v>700155.88183797896</v>
      </c>
      <c r="H32" s="1">
        <v>8159709.8887988599</v>
      </c>
      <c r="I32" s="1">
        <v>700158.56717096595</v>
      </c>
      <c r="J32" s="1">
        <v>8159711.8934951201</v>
      </c>
      <c r="K32" s="1">
        <f>E32-$C32</f>
        <v>0.15643297205679119</v>
      </c>
      <c r="L32" s="1">
        <f>F32-$D32</f>
        <v>3.577587409876287</v>
      </c>
      <c r="M32" s="1">
        <f t="shared" si="0"/>
        <v>-1.3406692800344899</v>
      </c>
      <c r="N32" s="1">
        <f t="shared" si="1"/>
        <v>-3.5854408498853445</v>
      </c>
      <c r="O32" s="1">
        <f>I32-$C32</f>
        <v>1.3446637069573626</v>
      </c>
      <c r="P32" s="1">
        <f>J32-$D32</f>
        <v>-1.5807445896789432</v>
      </c>
      <c r="Q32" s="1">
        <f>((K32^2)+(L32^2))^0.5</f>
        <v>3.5810058573048775</v>
      </c>
      <c r="R32" s="1">
        <f>((N32^2)+(M32^2))^0.5</f>
        <v>3.8278950098526394</v>
      </c>
      <c r="S32" s="1">
        <f>((P32^2)+(O32^2))^0.5</f>
        <v>2.0753009282047667</v>
      </c>
    </row>
    <row r="33" spans="1:19" x14ac:dyDescent="0.2">
      <c r="A33" s="2" t="s">
        <v>20</v>
      </c>
      <c r="B33" t="s">
        <v>1</v>
      </c>
      <c r="C33" s="1">
        <v>700157.21250725898</v>
      </c>
      <c r="D33" s="1">
        <v>8159713.4762397204</v>
      </c>
      <c r="E33" s="1">
        <v>700157.37894023105</v>
      </c>
      <c r="F33" s="1">
        <v>8159717.0518271197</v>
      </c>
      <c r="G33" s="1">
        <v>700155.88183797896</v>
      </c>
      <c r="H33" s="1">
        <v>8159709.8887988599</v>
      </c>
      <c r="I33" s="1">
        <v>700158.56717096595</v>
      </c>
      <c r="J33" s="1">
        <v>8159711.8934951201</v>
      </c>
      <c r="K33" s="1">
        <f>E33-$C33</f>
        <v>0.16643297206610441</v>
      </c>
      <c r="L33" s="1">
        <f>F33-$D33</f>
        <v>3.5755873993039131</v>
      </c>
      <c r="M33" s="1">
        <f t="shared" si="0"/>
        <v>-1.3306692800251767</v>
      </c>
      <c r="N33" s="1">
        <f t="shared" si="1"/>
        <v>-3.5874408604577184</v>
      </c>
      <c r="O33" s="1">
        <f>I33-$C33</f>
        <v>1.3546637069666758</v>
      </c>
      <c r="P33" s="1">
        <f>J33-$D33</f>
        <v>-1.582744600251317</v>
      </c>
      <c r="Q33" s="1">
        <f>((K33^2)+(L33^2))^0.5</f>
        <v>3.5794587837062291</v>
      </c>
      <c r="R33" s="1">
        <f>((N33^2)+(M33^2))^0.5</f>
        <v>3.8262792187821759</v>
      </c>
      <c r="S33" s="1">
        <f>((P33^2)+(O33^2))^0.5</f>
        <v>2.0833132814335431</v>
      </c>
    </row>
    <row r="34" spans="1:19" x14ac:dyDescent="0.2">
      <c r="A34" s="2" t="s">
        <v>53</v>
      </c>
      <c r="B34" t="s">
        <v>45</v>
      </c>
      <c r="C34" s="1">
        <v>700063.38650724594</v>
      </c>
      <c r="D34" s="1">
        <v>8160077.3602397097</v>
      </c>
      <c r="E34" s="1">
        <v>700062.17856627598</v>
      </c>
      <c r="F34" s="1">
        <v>8160080.5956195397</v>
      </c>
      <c r="G34" s="1">
        <v>700064.23082140798</v>
      </c>
      <c r="H34" s="1">
        <v>8160077.7577811396</v>
      </c>
      <c r="I34" s="1">
        <v>700064.56968048599</v>
      </c>
      <c r="J34" s="1">
        <v>8160077.0252189599</v>
      </c>
      <c r="K34" s="1">
        <f>E34-$C34</f>
        <v>-1.2079409699654207</v>
      </c>
      <c r="L34" s="1">
        <f>F34-$D34</f>
        <v>3.2353798300027847</v>
      </c>
      <c r="M34" s="1">
        <f t="shared" ref="M34:M65" si="2">G34-$C34</f>
        <v>0.84431416203733534</v>
      </c>
      <c r="N34" s="1">
        <f t="shared" ref="N34:N65" si="3">H34-$D34</f>
        <v>0.39754142984747887</v>
      </c>
      <c r="O34" s="1">
        <f>I34-$C34</f>
        <v>1.1831732400460169</v>
      </c>
      <c r="P34" s="1">
        <f>J34-$D34</f>
        <v>-0.33502074982970953</v>
      </c>
      <c r="Q34" s="1">
        <f>((K34^2)+(L34^2))^0.5</f>
        <v>3.4535205271302281</v>
      </c>
      <c r="R34" s="1">
        <f>((N34^2)+(M34^2))^0.5</f>
        <v>0.93322322766955701</v>
      </c>
      <c r="S34" s="1">
        <f>((P34^2)+(O34^2))^0.5</f>
        <v>1.2296901312027555</v>
      </c>
    </row>
    <row r="35" spans="1:19" x14ac:dyDescent="0.2">
      <c r="A35" s="2" t="s">
        <v>41</v>
      </c>
      <c r="B35" t="s">
        <v>28</v>
      </c>
      <c r="C35" s="1">
        <v>700314.19650726905</v>
      </c>
      <c r="D35" s="1">
        <v>8160555.8532397198</v>
      </c>
      <c r="E35" s="1">
        <v>700313.623373918</v>
      </c>
      <c r="F35" s="1">
        <v>8160552.4849451603</v>
      </c>
      <c r="G35" s="1">
        <v>700314.09181323496</v>
      </c>
      <c r="H35" s="1">
        <v>8160552.4915909404</v>
      </c>
      <c r="I35" s="1">
        <v>700314.25990410196</v>
      </c>
      <c r="J35" s="1">
        <v>8160554.4844815098</v>
      </c>
      <c r="K35" s="1">
        <f>E35-$C35</f>
        <v>-0.57313335104845464</v>
      </c>
      <c r="L35" s="1">
        <f>F35-$D35</f>
        <v>-3.3682945594191551</v>
      </c>
      <c r="M35" s="1">
        <f t="shared" si="2"/>
        <v>-0.10469403408933431</v>
      </c>
      <c r="N35" s="1">
        <f t="shared" si="3"/>
        <v>-3.3616487793624401</v>
      </c>
      <c r="O35" s="1">
        <f>I35-$C35</f>
        <v>6.3396832905709743E-2</v>
      </c>
      <c r="P35" s="1">
        <f>J35-$D35</f>
        <v>-1.3687582099810243</v>
      </c>
      <c r="Q35" s="1">
        <f>((K35^2)+(L35^2))^0.5</f>
        <v>3.4167074907133492</v>
      </c>
      <c r="R35" s="1">
        <f>((N35^2)+(M35^2))^0.5</f>
        <v>3.3632786617470285</v>
      </c>
      <c r="S35" s="1">
        <f>((P35^2)+(O35^2))^0.5</f>
        <v>1.3702256003348252</v>
      </c>
    </row>
    <row r="36" spans="1:19" x14ac:dyDescent="0.2">
      <c r="A36" s="2" t="s">
        <v>16</v>
      </c>
      <c r="B36" t="s">
        <v>1</v>
      </c>
      <c r="C36" s="1">
        <v>700200.44850726402</v>
      </c>
      <c r="D36" s="1">
        <v>8159679.46423971</v>
      </c>
      <c r="E36" s="1">
        <v>700198.59151046094</v>
      </c>
      <c r="F36" s="1">
        <v>8159682.2615617197</v>
      </c>
      <c r="G36" s="1">
        <v>700199.11819022405</v>
      </c>
      <c r="H36" s="1">
        <v>8159676.6762899002</v>
      </c>
      <c r="I36" s="1">
        <v>700201.15098079201</v>
      </c>
      <c r="J36" s="1">
        <v>8159678.7324824203</v>
      </c>
      <c r="K36" s="1">
        <f>E36-$C36</f>
        <v>-1.8569968030788004</v>
      </c>
      <c r="L36" s="1">
        <f>F36-$D36</f>
        <v>2.7973220096901059</v>
      </c>
      <c r="M36" s="1">
        <f t="shared" si="2"/>
        <v>-1.3303170399740338</v>
      </c>
      <c r="N36" s="1">
        <f t="shared" si="3"/>
        <v>-2.7879498098045588</v>
      </c>
      <c r="O36" s="1">
        <f>I36-$C36</f>
        <v>0.70247352798469365</v>
      </c>
      <c r="P36" s="1">
        <f>J36-$D36</f>
        <v>-0.73175728973001242</v>
      </c>
      <c r="Q36" s="1">
        <f>((K36^2)+(L36^2))^0.5</f>
        <v>3.3575955016263617</v>
      </c>
      <c r="R36" s="1">
        <f>((N36^2)+(M36^2))^0.5</f>
        <v>3.0890787573052503</v>
      </c>
      <c r="S36" s="1">
        <f>((P36^2)+(O36^2))^0.5</f>
        <v>1.0143657075198647</v>
      </c>
    </row>
    <row r="37" spans="1:19" x14ac:dyDescent="0.2">
      <c r="A37" s="2" t="s">
        <v>59</v>
      </c>
      <c r="B37" t="s">
        <v>45</v>
      </c>
      <c r="C37" s="1">
        <v>700230.33250726096</v>
      </c>
      <c r="D37" s="1">
        <v>8160366.69023972</v>
      </c>
      <c r="E37" s="1">
        <v>700233.46817717503</v>
      </c>
      <c r="F37" s="1">
        <v>8160365.6105397101</v>
      </c>
      <c r="G37" s="1">
        <v>700230.10694503202</v>
      </c>
      <c r="H37" s="1">
        <v>8160364.1825161399</v>
      </c>
      <c r="I37" s="1">
        <v>700230.41793601296</v>
      </c>
      <c r="J37" s="1">
        <v>8160364.3467269205</v>
      </c>
      <c r="K37" s="1">
        <f>E37-$C37</f>
        <v>3.1356699140742421</v>
      </c>
      <c r="L37" s="1">
        <f>F37-$D37</f>
        <v>-1.0797000098973513</v>
      </c>
      <c r="M37" s="1">
        <f t="shared" si="2"/>
        <v>-0.22556222893763334</v>
      </c>
      <c r="N37" s="1">
        <f t="shared" si="3"/>
        <v>-2.5077235801145434</v>
      </c>
      <c r="O37" s="1">
        <f>I37-$C37</f>
        <v>8.542875200510025E-2</v>
      </c>
      <c r="P37" s="1">
        <f>J37-$D37</f>
        <v>-2.343512799590826</v>
      </c>
      <c r="Q37" s="1">
        <f>((K37^2)+(L37^2))^0.5</f>
        <v>3.3163500902954599</v>
      </c>
      <c r="R37" s="1">
        <f>((N37^2)+(M37^2))^0.5</f>
        <v>2.5178474682525582</v>
      </c>
      <c r="S37" s="1">
        <f>((P37^2)+(O37^2))^0.5</f>
        <v>2.3450693621970289</v>
      </c>
    </row>
    <row r="38" spans="1:19" x14ac:dyDescent="0.2">
      <c r="A38" s="2" t="s">
        <v>70</v>
      </c>
      <c r="B38" t="s">
        <v>28</v>
      </c>
      <c r="C38" s="1">
        <v>700177.07450725499</v>
      </c>
      <c r="D38" s="1">
        <v>8160393.54923971</v>
      </c>
      <c r="E38" s="1">
        <v>700180.00804823998</v>
      </c>
      <c r="F38" s="1">
        <v>8160392.1041675201</v>
      </c>
      <c r="G38" s="1">
        <v>700179.85897195095</v>
      </c>
      <c r="H38" s="1">
        <v>8160393.6964146905</v>
      </c>
      <c r="I38" s="1">
        <v>700178.39447437099</v>
      </c>
      <c r="J38" s="1">
        <v>8160392.3941544397</v>
      </c>
      <c r="K38" s="1">
        <f>E38-$C38</f>
        <v>2.9335409849882126</v>
      </c>
      <c r="L38" s="1">
        <f>F38-$D38</f>
        <v>-1.4450721899047494</v>
      </c>
      <c r="M38" s="1">
        <f t="shared" si="2"/>
        <v>2.784464695956558</v>
      </c>
      <c r="N38" s="1">
        <f t="shared" si="3"/>
        <v>0.14717498049139977</v>
      </c>
      <c r="O38" s="1">
        <f>I38-$C38</f>
        <v>1.3199671159964055</v>
      </c>
      <c r="P38" s="1">
        <f>J38-$D38</f>
        <v>-1.155085270293057</v>
      </c>
      <c r="Q38" s="1">
        <f>((K38^2)+(L38^2))^0.5</f>
        <v>3.2701523427268215</v>
      </c>
      <c r="R38" s="1">
        <f>((N38^2)+(M38^2))^0.5</f>
        <v>2.788351505443869</v>
      </c>
      <c r="S38" s="1">
        <f>((P38^2)+(O38^2))^0.5</f>
        <v>1.7540054643472047</v>
      </c>
    </row>
    <row r="39" spans="1:19" x14ac:dyDescent="0.2">
      <c r="A39" s="2" t="s">
        <v>15</v>
      </c>
      <c r="B39" t="s">
        <v>1</v>
      </c>
      <c r="C39" s="1">
        <v>700205.04050726397</v>
      </c>
      <c r="D39" s="1">
        <v>8159684.7052397197</v>
      </c>
      <c r="E39" s="1">
        <v>700206.77484718896</v>
      </c>
      <c r="F39" s="1">
        <v>8159687.4371631099</v>
      </c>
      <c r="G39" s="1">
        <v>700205.17410865799</v>
      </c>
      <c r="H39" s="1">
        <v>8159683.5514088897</v>
      </c>
      <c r="I39" s="1">
        <v>700206.10460769897</v>
      </c>
      <c r="J39" s="1">
        <v>8159683.55595998</v>
      </c>
      <c r="K39" s="1">
        <f>E39-$C39</f>
        <v>1.7343399249948561</v>
      </c>
      <c r="L39" s="1">
        <f>F39-$D39</f>
        <v>2.7319233901798725</v>
      </c>
      <c r="M39" s="1">
        <f t="shared" si="2"/>
        <v>0.13360139401629567</v>
      </c>
      <c r="N39" s="1">
        <f t="shared" si="3"/>
        <v>-1.1538308300077915</v>
      </c>
      <c r="O39" s="1">
        <f>I39-$C39</f>
        <v>1.0641004350036383</v>
      </c>
      <c r="P39" s="1">
        <f>J39-$D39</f>
        <v>-1.1492797397077084</v>
      </c>
      <c r="Q39" s="1">
        <f>((K39^2)+(L39^2))^0.5</f>
        <v>3.2359450528776059</v>
      </c>
      <c r="R39" s="1">
        <f>((N39^2)+(M39^2))^0.5</f>
        <v>1.1615398903006158</v>
      </c>
      <c r="S39" s="1">
        <f>((P39^2)+(O39^2))^0.5</f>
        <v>1.5662546586930077</v>
      </c>
    </row>
    <row r="40" spans="1:19" x14ac:dyDescent="0.2">
      <c r="A40" s="2" t="s">
        <v>2</v>
      </c>
      <c r="B40" t="s">
        <v>1</v>
      </c>
      <c r="C40" s="1">
        <v>700239.974507267</v>
      </c>
      <c r="D40" s="1">
        <v>8159825.6222397201</v>
      </c>
      <c r="E40" s="1">
        <v>700242.18595490803</v>
      </c>
      <c r="F40" s="1">
        <v>8159823.4536075704</v>
      </c>
      <c r="G40" s="1">
        <v>700241.14414018998</v>
      </c>
      <c r="H40" s="1">
        <v>8159825.0270098997</v>
      </c>
      <c r="I40" s="1">
        <v>700239.96530689497</v>
      </c>
      <c r="J40" s="1">
        <v>8159823.8028736701</v>
      </c>
      <c r="K40" s="1">
        <f>E40-$C40</f>
        <v>2.2114476410206407</v>
      </c>
      <c r="L40" s="1">
        <f>F40-$D40</f>
        <v>-2.1686321496963501</v>
      </c>
      <c r="M40" s="1">
        <f t="shared" si="2"/>
        <v>1.1696329229744151</v>
      </c>
      <c r="N40" s="1">
        <f t="shared" si="3"/>
        <v>-0.59522982034832239</v>
      </c>
      <c r="O40" s="1">
        <f>I40-$C40</f>
        <v>-9.2003720346838236E-3</v>
      </c>
      <c r="P40" s="1">
        <f>J40-$D40</f>
        <v>-1.819366049952805</v>
      </c>
      <c r="Q40" s="1">
        <f>((K40^2)+(L40^2))^0.5</f>
        <v>3.0973320890198988</v>
      </c>
      <c r="R40" s="1">
        <f>((N40^2)+(M40^2))^0.5</f>
        <v>1.3123794091411105</v>
      </c>
      <c r="S40" s="1">
        <f>((P40^2)+(O40^2))^0.5</f>
        <v>1.8193893125349641</v>
      </c>
    </row>
    <row r="41" spans="1:19" x14ac:dyDescent="0.2">
      <c r="A41" s="2" t="s">
        <v>81</v>
      </c>
      <c r="B41" t="s">
        <v>28</v>
      </c>
      <c r="C41" s="1">
        <v>699920.18750723102</v>
      </c>
      <c r="D41" s="1">
        <v>8160073.2582397098</v>
      </c>
      <c r="E41" s="1">
        <v>699922.100224889</v>
      </c>
      <c r="F41" s="1">
        <v>8160070.9272069298</v>
      </c>
      <c r="G41" s="1">
        <v>699921.74706836999</v>
      </c>
      <c r="H41" s="1">
        <v>8160072.1931147696</v>
      </c>
      <c r="I41" s="1">
        <v>699922.81288492295</v>
      </c>
      <c r="J41" s="1">
        <v>8160071.4913771199</v>
      </c>
      <c r="K41" s="1">
        <f>E41-$C41</f>
        <v>1.9127176579786465</v>
      </c>
      <c r="L41" s="1">
        <f>F41-$D41</f>
        <v>-2.3310327799990773</v>
      </c>
      <c r="M41" s="1">
        <f t="shared" si="2"/>
        <v>1.55956113897264</v>
      </c>
      <c r="N41" s="1">
        <f t="shared" si="3"/>
        <v>-1.0651249401271343</v>
      </c>
      <c r="O41" s="1">
        <f>I41-$C41</f>
        <v>2.6253776919329539</v>
      </c>
      <c r="P41" s="1">
        <f>J41-$D41</f>
        <v>-1.7668625898659229</v>
      </c>
      <c r="Q41" s="1">
        <f>((K41^2)+(L41^2))^0.5</f>
        <v>3.0153279524080867</v>
      </c>
      <c r="R41" s="1">
        <f>((N41^2)+(M41^2))^0.5</f>
        <v>1.8885767350770977</v>
      </c>
      <c r="S41" s="1">
        <f>((P41^2)+(O41^2))^0.5</f>
        <v>3.1645554880214886</v>
      </c>
    </row>
    <row r="42" spans="1:19" x14ac:dyDescent="0.2">
      <c r="A42" s="2" t="s">
        <v>82</v>
      </c>
      <c r="B42" t="s">
        <v>28</v>
      </c>
      <c r="C42" s="1">
        <v>699799.98250721605</v>
      </c>
      <c r="D42" s="1">
        <v>8160104.0652397098</v>
      </c>
      <c r="E42" s="1">
        <v>699800.92789614003</v>
      </c>
      <c r="F42" s="1">
        <v>8160101.2403793</v>
      </c>
      <c r="G42" s="1">
        <v>699800.28471044498</v>
      </c>
      <c r="H42" s="1">
        <v>8160103.8130708402</v>
      </c>
      <c r="I42" s="1">
        <v>699801.79264915199</v>
      </c>
      <c r="J42" s="1">
        <v>8160103.9472661698</v>
      </c>
      <c r="K42" s="1">
        <f>E42-$C42</f>
        <v>0.94538892398122698</v>
      </c>
      <c r="L42" s="1">
        <f>F42-$D42</f>
        <v>-2.8248604098334908</v>
      </c>
      <c r="M42" s="1">
        <f t="shared" si="2"/>
        <v>0.30220322893001139</v>
      </c>
      <c r="N42" s="1">
        <f t="shared" si="3"/>
        <v>-0.25216886959969997</v>
      </c>
      <c r="O42" s="1">
        <f>I42-$C42</f>
        <v>1.8101419359445572</v>
      </c>
      <c r="P42" s="1">
        <f>J42-$D42</f>
        <v>-0.11797353997826576</v>
      </c>
      <c r="Q42" s="1">
        <f>((K42^2)+(L42^2))^0.5</f>
        <v>2.9788582632664853</v>
      </c>
      <c r="R42" s="1">
        <f>((N42^2)+(M42^2))^0.5</f>
        <v>0.39359361068355181</v>
      </c>
      <c r="S42" s="1">
        <f>((P42^2)+(O42^2))^0.5</f>
        <v>1.8139822447863465</v>
      </c>
    </row>
    <row r="43" spans="1:19" x14ac:dyDescent="0.2">
      <c r="A43" s="2" t="s">
        <v>27</v>
      </c>
      <c r="B43" t="s">
        <v>28</v>
      </c>
      <c r="C43" s="1">
        <v>699563.72850718896</v>
      </c>
      <c r="D43" s="1">
        <v>8160366.3492397098</v>
      </c>
      <c r="E43" s="1">
        <v>699564.97229147598</v>
      </c>
      <c r="F43" s="1">
        <v>8160363.6610194696</v>
      </c>
      <c r="G43" s="1">
        <v>699562.99584732705</v>
      </c>
      <c r="H43" s="1">
        <v>8160360.6710294904</v>
      </c>
      <c r="I43" s="1">
        <v>699563.50016304699</v>
      </c>
      <c r="J43" s="1">
        <v>8160364.39402916</v>
      </c>
      <c r="K43" s="1">
        <f>E43-$C43</f>
        <v>1.2437842870131135</v>
      </c>
      <c r="L43" s="1">
        <f>F43-$D43</f>
        <v>-2.688220240175724</v>
      </c>
      <c r="M43" s="1">
        <f t="shared" si="2"/>
        <v>-0.73265986191108823</v>
      </c>
      <c r="N43" s="1">
        <f t="shared" si="3"/>
        <v>-5.6782102193683386</v>
      </c>
      <c r="O43" s="1">
        <f>I43-$C43</f>
        <v>-0.22834414197131991</v>
      </c>
      <c r="P43" s="1">
        <f>J43-$D43</f>
        <v>-1.9552105497568846</v>
      </c>
      <c r="Q43" s="1">
        <f>((K43^2)+(L43^2))^0.5</f>
        <v>2.9620140803701704</v>
      </c>
      <c r="R43" s="1">
        <f>((N43^2)+(M43^2))^0.5</f>
        <v>5.7252826802346286</v>
      </c>
      <c r="S43" s="1">
        <f>((P43^2)+(O43^2))^0.5</f>
        <v>1.9684992611259058</v>
      </c>
    </row>
    <row r="44" spans="1:19" x14ac:dyDescent="0.2">
      <c r="A44" s="2" t="s">
        <v>22</v>
      </c>
      <c r="B44" t="s">
        <v>1</v>
      </c>
      <c r="C44" s="1">
        <v>700116.77650725399</v>
      </c>
      <c r="D44" s="1">
        <v>8159766.1242397102</v>
      </c>
      <c r="E44" s="1">
        <v>700117.551240072</v>
      </c>
      <c r="F44" s="1">
        <v>8159768.95556805</v>
      </c>
      <c r="G44" s="1">
        <v>700117.22184980195</v>
      </c>
      <c r="H44" s="1">
        <v>8159764.1462895703</v>
      </c>
      <c r="I44" s="1">
        <v>700116.91899054195</v>
      </c>
      <c r="J44" s="1">
        <v>8159765.1895288704</v>
      </c>
      <c r="K44" s="1">
        <f>E44-$C44</f>
        <v>0.77473281801212579</v>
      </c>
      <c r="L44" s="1">
        <f>F44-$D44</f>
        <v>2.8313283398747444</v>
      </c>
      <c r="M44" s="1">
        <f t="shared" si="2"/>
        <v>0.44534254795871675</v>
      </c>
      <c r="N44" s="1">
        <f t="shared" si="3"/>
        <v>-1.9779501399025321</v>
      </c>
      <c r="O44" s="1">
        <f>I44-$C44</f>
        <v>0.14248328795656562</v>
      </c>
      <c r="P44" s="1">
        <f>J44-$D44</f>
        <v>-0.93471083976328373</v>
      </c>
      <c r="Q44" s="1">
        <f>((K44^2)+(L44^2))^0.5</f>
        <v>2.9354098704410747</v>
      </c>
      <c r="R44" s="1">
        <f>((N44^2)+(M44^2))^0.5</f>
        <v>2.0274655955065692</v>
      </c>
      <c r="S44" s="1">
        <f>((P44^2)+(O44^2))^0.5</f>
        <v>0.94550824497615926</v>
      </c>
    </row>
    <row r="45" spans="1:19" x14ac:dyDescent="0.2">
      <c r="A45" s="2" t="s">
        <v>37</v>
      </c>
      <c r="B45" t="s">
        <v>28</v>
      </c>
      <c r="C45" s="1">
        <v>700211.46950725606</v>
      </c>
      <c r="D45" s="1">
        <v>8160677.9292397201</v>
      </c>
      <c r="E45" s="1">
        <v>700214.32840223995</v>
      </c>
      <c r="F45" s="1">
        <v>8160677.6090922197</v>
      </c>
      <c r="G45" s="1">
        <v>700212.490350837</v>
      </c>
      <c r="H45" s="1">
        <v>8160676.5858420003</v>
      </c>
      <c r="I45" s="1">
        <v>700212.63929441897</v>
      </c>
      <c r="J45" s="1">
        <v>8160675.9690604899</v>
      </c>
      <c r="K45" s="1">
        <f>E45-$C45</f>
        <v>2.8588949838886037</v>
      </c>
      <c r="L45" s="1">
        <f>F45-$D45</f>
        <v>-0.3201475003734231</v>
      </c>
      <c r="M45" s="1">
        <f t="shared" si="2"/>
        <v>1.0208435809472576</v>
      </c>
      <c r="N45" s="1">
        <f t="shared" si="3"/>
        <v>-1.3433977197855711</v>
      </c>
      <c r="O45" s="1">
        <f>I45-$C45</f>
        <v>1.1697871629148722</v>
      </c>
      <c r="P45" s="1">
        <f>J45-$D45</f>
        <v>-1.9601792301982641</v>
      </c>
      <c r="Q45" s="1">
        <f>((K45^2)+(L45^2))^0.5</f>
        <v>2.8767646672779423</v>
      </c>
      <c r="R45" s="1">
        <f>((N45^2)+(M45^2))^0.5</f>
        <v>1.6872578493775905</v>
      </c>
      <c r="S45" s="1">
        <f>((P45^2)+(O45^2))^0.5</f>
        <v>2.2826967869213566</v>
      </c>
    </row>
    <row r="46" spans="1:19" x14ac:dyDescent="0.2">
      <c r="A46" s="2" t="s">
        <v>80</v>
      </c>
      <c r="B46" t="s">
        <v>28</v>
      </c>
      <c r="C46" s="1">
        <v>699953.53850723396</v>
      </c>
      <c r="D46" s="1">
        <v>8160108.0932397097</v>
      </c>
      <c r="E46" s="1">
        <v>699956.31104609999</v>
      </c>
      <c r="F46" s="1">
        <v>8160107.4648126904</v>
      </c>
      <c r="G46" s="1">
        <v>699955.23599260102</v>
      </c>
      <c r="H46" s="1">
        <v>8160109.3735537101</v>
      </c>
      <c r="I46" s="1">
        <v>699956.23084360699</v>
      </c>
      <c r="J46" s="1">
        <v>8160107.70291714</v>
      </c>
      <c r="K46" s="1">
        <f>E46-$C46</f>
        <v>2.7725388660328463</v>
      </c>
      <c r="L46" s="1">
        <f>F46-$D46</f>
        <v>-0.62842701934278011</v>
      </c>
      <c r="M46" s="1">
        <f t="shared" si="2"/>
        <v>1.6974853670690209</v>
      </c>
      <c r="N46" s="1">
        <f t="shared" si="3"/>
        <v>1.2803140003234148</v>
      </c>
      <c r="O46" s="1">
        <f>I46-$C46</f>
        <v>2.6923363730311394</v>
      </c>
      <c r="P46" s="1">
        <f>J46-$D46</f>
        <v>-0.39032256975769997</v>
      </c>
      <c r="Q46" s="1">
        <f>((K46^2)+(L46^2))^0.5</f>
        <v>2.8428669125203085</v>
      </c>
      <c r="R46" s="1">
        <f>((N46^2)+(M46^2))^0.5</f>
        <v>2.126184495954571</v>
      </c>
      <c r="S46" s="1">
        <f>((P46^2)+(O46^2))^0.5</f>
        <v>2.7204828347204701</v>
      </c>
    </row>
    <row r="47" spans="1:19" x14ac:dyDescent="0.2">
      <c r="A47" s="2" t="s">
        <v>73</v>
      </c>
      <c r="B47" t="s">
        <v>28</v>
      </c>
      <c r="C47" s="1">
        <v>700124.52650725096</v>
      </c>
      <c r="D47" s="1">
        <v>8160322.4632397201</v>
      </c>
      <c r="E47" s="1">
        <v>700127.24350623996</v>
      </c>
      <c r="F47" s="1">
        <v>8160322.5823132899</v>
      </c>
      <c r="G47" s="1">
        <v>700123.53444041195</v>
      </c>
      <c r="H47" s="1">
        <v>8160321.62906704</v>
      </c>
      <c r="I47" s="1">
        <v>700127.45602309203</v>
      </c>
      <c r="J47" s="1">
        <v>8160319.9331964701</v>
      </c>
      <c r="K47" s="1">
        <f>E47-$C47</f>
        <v>2.7169989889953285</v>
      </c>
      <c r="L47" s="1">
        <f>F47-$D47</f>
        <v>0.11907356977462769</v>
      </c>
      <c r="M47" s="1">
        <f t="shared" si="2"/>
        <v>-0.99206683901138604</v>
      </c>
      <c r="N47" s="1">
        <f t="shared" si="3"/>
        <v>-0.83417268004268408</v>
      </c>
      <c r="O47" s="1">
        <f>I47-$C47</f>
        <v>2.9295158410677686</v>
      </c>
      <c r="P47" s="1">
        <f>J47-$D47</f>
        <v>-2.5300432499498129</v>
      </c>
      <c r="Q47" s="1">
        <f>((K47^2)+(L47^2))^0.5</f>
        <v>2.7196069607979223</v>
      </c>
      <c r="R47" s="1">
        <f>((N47^2)+(M47^2))^0.5</f>
        <v>1.2961638296124598</v>
      </c>
      <c r="S47" s="1">
        <f>((P47^2)+(O47^2))^0.5</f>
        <v>3.8708115311499744</v>
      </c>
    </row>
    <row r="48" spans="1:19" x14ac:dyDescent="0.2">
      <c r="A48" s="2" t="s">
        <v>54</v>
      </c>
      <c r="B48" t="s">
        <v>45</v>
      </c>
      <c r="C48" s="1">
        <v>700063.06950724602</v>
      </c>
      <c r="D48" s="1">
        <v>8160091.4282397097</v>
      </c>
      <c r="E48" s="1">
        <v>700063.60289319395</v>
      </c>
      <c r="F48" s="1">
        <v>8160094.08341162</v>
      </c>
      <c r="G48" s="1">
        <v>700063.22808791604</v>
      </c>
      <c r="H48" s="1">
        <v>8160090.7666271897</v>
      </c>
      <c r="I48" s="1">
        <v>700063.41796579305</v>
      </c>
      <c r="J48" s="1">
        <v>8160090.76042007</v>
      </c>
      <c r="K48" s="1">
        <f>E48-$C48</f>
        <v>0.53338594792876393</v>
      </c>
      <c r="L48" s="1">
        <f>F48-$D48</f>
        <v>2.6551719103008509</v>
      </c>
      <c r="M48" s="1">
        <f t="shared" si="2"/>
        <v>0.15858067001681775</v>
      </c>
      <c r="N48" s="1">
        <f t="shared" si="3"/>
        <v>-0.66161251999437809</v>
      </c>
      <c r="O48" s="1">
        <f>I48-$C48</f>
        <v>0.34845854702871293</v>
      </c>
      <c r="P48" s="1">
        <f>J48-$D48</f>
        <v>-0.66781963966786861</v>
      </c>
      <c r="Q48" s="1">
        <f>((K48^2)+(L48^2))^0.5</f>
        <v>2.7082168381978824</v>
      </c>
      <c r="R48" s="1">
        <f>((N48^2)+(M48^2))^0.5</f>
        <v>0.68035208202539821</v>
      </c>
      <c r="S48" s="1">
        <f>((P48^2)+(O48^2))^0.5</f>
        <v>0.75326385159748888</v>
      </c>
    </row>
    <row r="49" spans="1:19" x14ac:dyDescent="0.2">
      <c r="A49" s="2" t="s">
        <v>14</v>
      </c>
      <c r="B49" t="s">
        <v>1</v>
      </c>
      <c r="C49" s="1">
        <v>700209.05150726403</v>
      </c>
      <c r="D49" s="1">
        <v>8159689.6512397099</v>
      </c>
      <c r="E49" s="1">
        <v>700211.10086306999</v>
      </c>
      <c r="F49" s="1">
        <v>8159691.4157100599</v>
      </c>
      <c r="G49" s="1">
        <v>700208.083708241</v>
      </c>
      <c r="H49" s="1">
        <v>8159687.2514247401</v>
      </c>
      <c r="I49" s="1">
        <v>700209.14812278003</v>
      </c>
      <c r="J49" s="1">
        <v>8159689.5041671405</v>
      </c>
      <c r="K49" s="1">
        <f>E49-$C49</f>
        <v>2.0493558059679344</v>
      </c>
      <c r="L49" s="1">
        <f>F49-$D49</f>
        <v>1.764470349997282</v>
      </c>
      <c r="M49" s="1">
        <f t="shared" si="2"/>
        <v>-0.96779902302660048</v>
      </c>
      <c r="N49" s="1">
        <f t="shared" si="3"/>
        <v>-2.3998149698600173</v>
      </c>
      <c r="O49" s="1">
        <f>I49-$C49</f>
        <v>9.6615515998564661E-2</v>
      </c>
      <c r="P49" s="1">
        <f>J49-$D49</f>
        <v>-0.14707256946712732</v>
      </c>
      <c r="Q49" s="1">
        <f>((K49^2)+(L49^2))^0.5</f>
        <v>2.704295626493896</v>
      </c>
      <c r="R49" s="1">
        <f>((N49^2)+(M49^2))^0.5</f>
        <v>2.5876141208718657</v>
      </c>
      <c r="S49" s="1">
        <f>((P49^2)+(O49^2))^0.5</f>
        <v>0.17596845916621506</v>
      </c>
    </row>
    <row r="50" spans="1:19" x14ac:dyDescent="0.2">
      <c r="A50" s="2" t="s">
        <v>69</v>
      </c>
      <c r="B50" t="s">
        <v>28</v>
      </c>
      <c r="C50" s="1">
        <v>700206.65350725804</v>
      </c>
      <c r="D50" s="1">
        <v>8160427.5032397099</v>
      </c>
      <c r="E50" s="1">
        <v>700209.154838296</v>
      </c>
      <c r="F50" s="1">
        <v>8160427.8953745104</v>
      </c>
      <c r="G50" s="1">
        <v>700206.94811042398</v>
      </c>
      <c r="H50" s="1">
        <v>8160427.4202438695</v>
      </c>
      <c r="I50" s="1">
        <v>700209.22975813097</v>
      </c>
      <c r="J50" s="1">
        <v>8160426.1946382904</v>
      </c>
      <c r="K50" s="1">
        <f>E50-$C50</f>
        <v>2.5013310379581526</v>
      </c>
      <c r="L50" s="1">
        <f>F50-$D50</f>
        <v>0.39213480055332184</v>
      </c>
      <c r="M50" s="1">
        <f t="shared" si="2"/>
        <v>0.29460316593758762</v>
      </c>
      <c r="N50" s="1">
        <f t="shared" si="3"/>
        <v>-8.2995840348303318E-2</v>
      </c>
      <c r="O50" s="1">
        <f>I50-$C50</f>
        <v>2.5762508729239926</v>
      </c>
      <c r="P50" s="1">
        <f>J50-$D50</f>
        <v>-1.308601419441402</v>
      </c>
      <c r="Q50" s="1">
        <f>((K50^2)+(L50^2))^0.5</f>
        <v>2.5318820397597124</v>
      </c>
      <c r="R50" s="1">
        <f>((N50^2)+(M50^2))^0.5</f>
        <v>0.30607080046219837</v>
      </c>
      <c r="S50" s="1">
        <f>((P50^2)+(O50^2))^0.5</f>
        <v>2.8895512169203172</v>
      </c>
    </row>
    <row r="51" spans="1:19" x14ac:dyDescent="0.2">
      <c r="A51" s="2" t="s">
        <v>17</v>
      </c>
      <c r="B51" t="s">
        <v>1</v>
      </c>
      <c r="C51" s="1">
        <v>700188.33750726096</v>
      </c>
      <c r="D51" s="1">
        <v>8159678.8412397103</v>
      </c>
      <c r="E51" s="1">
        <v>700188.63993111195</v>
      </c>
      <c r="F51" s="1">
        <v>8159681.2278772099</v>
      </c>
      <c r="G51" s="1">
        <v>700188.55707861297</v>
      </c>
      <c r="H51" s="1">
        <v>8159677.9718358098</v>
      </c>
      <c r="I51" s="1">
        <v>700188.75783061096</v>
      </c>
      <c r="J51" s="1">
        <v>8159677.0778651098</v>
      </c>
      <c r="K51" s="1">
        <f>E51-$C51</f>
        <v>0.30242385098244995</v>
      </c>
      <c r="L51" s="1">
        <f>F51-$D51</f>
        <v>2.3866374995559454</v>
      </c>
      <c r="M51" s="1">
        <f t="shared" si="2"/>
        <v>0.21957135200500488</v>
      </c>
      <c r="N51" s="1">
        <f t="shared" si="3"/>
        <v>-0.86940390057861805</v>
      </c>
      <c r="O51" s="1">
        <f>I51-$C51</f>
        <v>0.42032335000112653</v>
      </c>
      <c r="P51" s="1">
        <f>J51-$D51</f>
        <v>-1.763374600559473</v>
      </c>
      <c r="Q51" s="1">
        <f>((K51^2)+(L51^2))^0.5</f>
        <v>2.4057220828536514</v>
      </c>
      <c r="R51" s="1">
        <f>((N51^2)+(M51^2))^0.5</f>
        <v>0.89670213614255501</v>
      </c>
      <c r="S51" s="1">
        <f>((P51^2)+(O51^2))^0.5</f>
        <v>1.8127773444233164</v>
      </c>
    </row>
    <row r="52" spans="1:19" x14ac:dyDescent="0.2">
      <c r="A52" s="2" t="s">
        <v>32</v>
      </c>
      <c r="B52" t="s">
        <v>28</v>
      </c>
      <c r="C52" s="1">
        <v>699516.85150718398</v>
      </c>
      <c r="D52" s="1">
        <v>8160454.5452397102</v>
      </c>
      <c r="E52" s="1">
        <v>699517.24503873195</v>
      </c>
      <c r="F52" s="1">
        <v>8160452.1866344996</v>
      </c>
      <c r="G52" s="1">
        <v>699517.92240186397</v>
      </c>
      <c r="H52" s="1">
        <v>8160453.3156491499</v>
      </c>
      <c r="I52" s="1">
        <v>699517.26172195596</v>
      </c>
      <c r="J52" s="1">
        <v>8160452.0423595598</v>
      </c>
      <c r="K52" s="1">
        <f>E52-$C52</f>
        <v>0.39353154797572643</v>
      </c>
      <c r="L52" s="1">
        <f>F52-$D52</f>
        <v>-2.3586052106693387</v>
      </c>
      <c r="M52" s="1">
        <f t="shared" si="2"/>
        <v>1.0708946799859405</v>
      </c>
      <c r="N52" s="1">
        <f t="shared" si="3"/>
        <v>-1.2295905603095889</v>
      </c>
      <c r="O52" s="1">
        <f>I52-$C52</f>
        <v>0.4102147719822824</v>
      </c>
      <c r="P52" s="1">
        <f>J52-$D52</f>
        <v>-2.5028801504522562</v>
      </c>
      <c r="Q52" s="1">
        <f>((K52^2)+(L52^2))^0.5</f>
        <v>2.3912100742194791</v>
      </c>
      <c r="R52" s="1">
        <f>((N52^2)+(M52^2))^0.5</f>
        <v>1.630554617798692</v>
      </c>
      <c r="S52" s="1">
        <f>((P52^2)+(O52^2))^0.5</f>
        <v>2.5362738824268138</v>
      </c>
    </row>
    <row r="53" spans="1:19" x14ac:dyDescent="0.2">
      <c r="A53" s="2" t="s">
        <v>11</v>
      </c>
      <c r="B53" t="s">
        <v>1</v>
      </c>
      <c r="C53" s="1">
        <v>700271.81650726998</v>
      </c>
      <c r="D53" s="1">
        <v>8159693.9712397195</v>
      </c>
      <c r="E53" s="1">
        <v>700270.10290661897</v>
      </c>
      <c r="F53" s="1">
        <v>8159692.3563437099</v>
      </c>
      <c r="G53" s="1">
        <v>700273.66651397501</v>
      </c>
      <c r="H53" s="1">
        <v>8159692.4559859103</v>
      </c>
      <c r="I53" s="1">
        <v>700272.89036182303</v>
      </c>
      <c r="J53" s="1">
        <v>8159693.7759456197</v>
      </c>
      <c r="K53" s="1">
        <f>E53-$C53</f>
        <v>-1.7136006510118023</v>
      </c>
      <c r="L53" s="1">
        <f>F53-$D53</f>
        <v>-1.6148960096761584</v>
      </c>
      <c r="M53" s="1">
        <f t="shared" si="2"/>
        <v>1.8500067050335929</v>
      </c>
      <c r="N53" s="1">
        <f t="shared" si="3"/>
        <v>-1.5152538092806935</v>
      </c>
      <c r="O53" s="1">
        <f>I53-$C53</f>
        <v>1.0738545530475676</v>
      </c>
      <c r="P53" s="1">
        <f>J53-$D53</f>
        <v>-0.19529409985989332</v>
      </c>
      <c r="Q53" s="1">
        <f>((K53^2)+(L53^2))^0.5</f>
        <v>2.3546371935429993</v>
      </c>
      <c r="R53" s="1">
        <f>((N53^2)+(M53^2))^0.5</f>
        <v>2.3913424922434059</v>
      </c>
      <c r="S53" s="1">
        <f>((P53^2)+(O53^2))^0.5</f>
        <v>1.0914684542125241</v>
      </c>
    </row>
    <row r="54" spans="1:19" x14ac:dyDescent="0.2">
      <c r="A54" s="2" t="s">
        <v>52</v>
      </c>
      <c r="B54" t="s">
        <v>45</v>
      </c>
      <c r="C54" s="1">
        <v>700024.18550724199</v>
      </c>
      <c r="D54" s="1">
        <v>8160031.50423971</v>
      </c>
      <c r="E54" s="1">
        <v>700025.43908680195</v>
      </c>
      <c r="F54" s="1">
        <v>8160029.5249603204</v>
      </c>
      <c r="G54" s="1">
        <v>700024.34509958595</v>
      </c>
      <c r="H54" s="1">
        <v>8160029.0026976997</v>
      </c>
      <c r="I54" s="1">
        <v>700023.89401710103</v>
      </c>
      <c r="J54" s="1">
        <v>8160029.2603841303</v>
      </c>
      <c r="K54" s="1">
        <f>E54-$C54</f>
        <v>1.2535795599687845</v>
      </c>
      <c r="L54" s="1">
        <f>F54-$D54</f>
        <v>-1.9792793896049261</v>
      </c>
      <c r="M54" s="1">
        <f t="shared" si="2"/>
        <v>0.15959234395995736</v>
      </c>
      <c r="N54" s="1">
        <f t="shared" si="3"/>
        <v>-2.5015420103445649</v>
      </c>
      <c r="O54" s="1">
        <f>I54-$C54</f>
        <v>-0.29149014095310122</v>
      </c>
      <c r="P54" s="1">
        <f>J54-$D54</f>
        <v>-2.2438555797562003</v>
      </c>
      <c r="Q54" s="1">
        <f>((K54^2)+(L54^2))^0.5</f>
        <v>2.3428633368778429</v>
      </c>
      <c r="R54" s="1">
        <f>((N54^2)+(M54^2))^0.5</f>
        <v>2.5066276440208188</v>
      </c>
      <c r="S54" s="1">
        <f>((P54^2)+(O54^2))^0.5</f>
        <v>2.2627095184923522</v>
      </c>
    </row>
    <row r="55" spans="1:19" x14ac:dyDescent="0.2">
      <c r="A55" s="2" t="s">
        <v>13</v>
      </c>
      <c r="B55" t="s">
        <v>1</v>
      </c>
      <c r="C55" s="1">
        <v>700232.33050726703</v>
      </c>
      <c r="D55" s="1">
        <v>8159708.8172397204</v>
      </c>
      <c r="E55" s="1">
        <v>700234.514197235</v>
      </c>
      <c r="F55" s="1">
        <v>8159708.2652161298</v>
      </c>
      <c r="G55" s="1">
        <v>700233.04948465095</v>
      </c>
      <c r="H55" s="1">
        <v>8159709.2599935504</v>
      </c>
      <c r="I55" s="1">
        <v>700233.33713334205</v>
      </c>
      <c r="J55" s="1">
        <v>8159708.7570169596</v>
      </c>
      <c r="K55" s="1">
        <f>E55-$C55</f>
        <v>2.1836899679619819</v>
      </c>
      <c r="L55" s="1">
        <f>F55-$D55</f>
        <v>-0.55202359054237604</v>
      </c>
      <c r="M55" s="1">
        <f t="shared" si="2"/>
        <v>0.71897738391999155</v>
      </c>
      <c r="N55" s="1">
        <f t="shared" si="3"/>
        <v>0.44275382999330759</v>
      </c>
      <c r="O55" s="1">
        <f>I55-$C55</f>
        <v>1.006626075017266</v>
      </c>
      <c r="P55" s="1">
        <f>J55-$D55</f>
        <v>-6.0222760774195194E-2</v>
      </c>
      <c r="Q55" s="1">
        <f>((K55^2)+(L55^2))^0.5</f>
        <v>2.2523836086894917</v>
      </c>
      <c r="R55" s="1">
        <f>((N55^2)+(M55^2))^0.5</f>
        <v>0.84436925131258633</v>
      </c>
      <c r="S55" s="1">
        <f>((P55^2)+(O55^2))^0.5</f>
        <v>1.0084259198473293</v>
      </c>
    </row>
    <row r="56" spans="1:19" x14ac:dyDescent="0.2">
      <c r="A56" s="2" t="s">
        <v>6</v>
      </c>
      <c r="B56" t="s">
        <v>1</v>
      </c>
      <c r="C56" s="1">
        <v>700360.22350728104</v>
      </c>
      <c r="D56" s="1">
        <v>8159684.0332397204</v>
      </c>
      <c r="E56" s="1">
        <v>700361.976768133</v>
      </c>
      <c r="F56" s="1">
        <v>8159685.4330378501</v>
      </c>
      <c r="G56" s="1">
        <v>700358.58415390097</v>
      </c>
      <c r="H56" s="1">
        <v>8159681.61118015</v>
      </c>
      <c r="I56" s="1">
        <v>700359.75486793299</v>
      </c>
      <c r="J56" s="1">
        <v>8159683.2205556603</v>
      </c>
      <c r="K56" s="1">
        <f>E56-$C56</f>
        <v>1.75326085195411</v>
      </c>
      <c r="L56" s="1">
        <f>F56-$D56</f>
        <v>1.3997981296852231</v>
      </c>
      <c r="M56" s="1">
        <f t="shared" si="2"/>
        <v>-1.6393533800728619</v>
      </c>
      <c r="N56" s="1">
        <f t="shared" si="3"/>
        <v>-2.4220595704391599</v>
      </c>
      <c r="O56" s="1">
        <f>I56-$C56</f>
        <v>-0.46863934805151075</v>
      </c>
      <c r="P56" s="1">
        <f>J56-$D56</f>
        <v>-0.81268406007438898</v>
      </c>
      <c r="Q56" s="1">
        <f>((K56^2)+(L56^2))^0.5</f>
        <v>2.2435147467456282</v>
      </c>
      <c r="R56" s="1">
        <f>((N56^2)+(M56^2))^0.5</f>
        <v>2.924696918915231</v>
      </c>
      <c r="S56" s="1">
        <f>((P56^2)+(O56^2))^0.5</f>
        <v>0.93812484246028693</v>
      </c>
    </row>
    <row r="57" spans="1:19" x14ac:dyDescent="0.2">
      <c r="A57" s="2" t="s">
        <v>25</v>
      </c>
      <c r="B57" t="s">
        <v>1</v>
      </c>
      <c r="C57" s="1">
        <v>700178.22150725999</v>
      </c>
      <c r="D57" s="1">
        <v>8159811.1352397101</v>
      </c>
      <c r="E57" s="1">
        <v>700176.45158166206</v>
      </c>
      <c r="F57" s="1">
        <v>8159812.4840696603</v>
      </c>
      <c r="G57" s="1">
        <v>700177.94565523101</v>
      </c>
      <c r="H57" s="1">
        <v>8159810.8518099599</v>
      </c>
      <c r="I57" s="1">
        <v>700178.48278370395</v>
      </c>
      <c r="J57" s="1">
        <v>8159810.2125704195</v>
      </c>
      <c r="K57" s="1">
        <f>E57-$C57</f>
        <v>-1.769925597938709</v>
      </c>
      <c r="L57" s="1">
        <f>F57-$D57</f>
        <v>1.3488299502059817</v>
      </c>
      <c r="M57" s="1">
        <f t="shared" si="2"/>
        <v>-0.27585202897898853</v>
      </c>
      <c r="N57" s="1">
        <f t="shared" si="3"/>
        <v>-0.28342975024133921</v>
      </c>
      <c r="O57" s="1">
        <f>I57-$C57</f>
        <v>0.26127644395455718</v>
      </c>
      <c r="P57" s="1">
        <f>J57-$D57</f>
        <v>-0.92266929056495428</v>
      </c>
      <c r="Q57" s="1">
        <f>((K57^2)+(L57^2))^0.5</f>
        <v>2.2253042166884436</v>
      </c>
      <c r="R57" s="1">
        <f>((N57^2)+(M57^2))^0.5</f>
        <v>0.39550823659399642</v>
      </c>
      <c r="S57" s="1">
        <f>((P57^2)+(O57^2))^0.5</f>
        <v>0.95894942510915293</v>
      </c>
    </row>
    <row r="58" spans="1:19" x14ac:dyDescent="0.2">
      <c r="A58" s="2" t="s">
        <v>3</v>
      </c>
      <c r="B58" t="s">
        <v>1</v>
      </c>
      <c r="C58" s="1">
        <v>700276.60250727099</v>
      </c>
      <c r="D58" s="1">
        <v>8159779.62323971</v>
      </c>
      <c r="E58" s="1">
        <v>700278.71841428697</v>
      </c>
      <c r="F58" s="1">
        <v>8159779.3273884803</v>
      </c>
      <c r="G58" s="1">
        <v>700276.90659064904</v>
      </c>
      <c r="H58" s="1">
        <v>8159779.1440190999</v>
      </c>
      <c r="I58" s="1">
        <v>700276.57197105605</v>
      </c>
      <c r="J58" s="1">
        <v>8159779.0763239497</v>
      </c>
      <c r="K58" s="1">
        <f>E58-$C58</f>
        <v>2.1159070159774274</v>
      </c>
      <c r="L58" s="1">
        <f>F58-$D58</f>
        <v>-0.29585122969001532</v>
      </c>
      <c r="M58" s="1">
        <f t="shared" si="2"/>
        <v>0.3040833780542016</v>
      </c>
      <c r="N58" s="1">
        <f t="shared" si="3"/>
        <v>-0.47922061011195183</v>
      </c>
      <c r="O58" s="1">
        <f>I58-$C58</f>
        <v>-3.0536214937455952E-2</v>
      </c>
      <c r="P58" s="1">
        <f>J58-$D58</f>
        <v>-0.54691576026380062</v>
      </c>
      <c r="Q58" s="1">
        <f>((K58^2)+(L58^2))^0.5</f>
        <v>2.1364902177102509</v>
      </c>
      <c r="R58" s="1">
        <f>((N58^2)+(M58^2))^0.5</f>
        <v>0.56755536643126359</v>
      </c>
      <c r="S58" s="1">
        <f>((P58^2)+(O58^2))^0.5</f>
        <v>0.5477675686343958</v>
      </c>
    </row>
    <row r="59" spans="1:19" x14ac:dyDescent="0.2">
      <c r="A59" s="2" t="s">
        <v>9</v>
      </c>
      <c r="B59" t="s">
        <v>1</v>
      </c>
      <c r="C59" s="1">
        <v>700315.04150727601</v>
      </c>
      <c r="D59" s="1">
        <v>8159650.42423971</v>
      </c>
      <c r="E59" s="1">
        <v>700316.95419109403</v>
      </c>
      <c r="F59" s="1">
        <v>8159651.2956565795</v>
      </c>
      <c r="G59" s="1">
        <v>700315.07661514496</v>
      </c>
      <c r="H59" s="1">
        <v>8159649.3167877505</v>
      </c>
      <c r="I59" s="1">
        <v>700316.21844126005</v>
      </c>
      <c r="J59" s="1">
        <v>8159648.9862004798</v>
      </c>
      <c r="K59" s="1">
        <f>E59-$C59</f>
        <v>1.9126838180236518</v>
      </c>
      <c r="L59" s="1">
        <f>F59-$D59</f>
        <v>0.87141686957329512</v>
      </c>
      <c r="M59" s="1">
        <f t="shared" si="2"/>
        <v>3.5107868956401944E-2</v>
      </c>
      <c r="N59" s="1">
        <f t="shared" si="3"/>
        <v>-1.1074519595131278</v>
      </c>
      <c r="O59" s="1">
        <f>I59-$C59</f>
        <v>1.1769339840393513</v>
      </c>
      <c r="P59" s="1">
        <f>J59-$D59</f>
        <v>-1.4380392301827669</v>
      </c>
      <c r="Q59" s="1">
        <f>((K59^2)+(L59^2))^0.5</f>
        <v>2.1018388968487702</v>
      </c>
      <c r="R59" s="1">
        <f>((N59^2)+(M59^2))^0.5</f>
        <v>1.1080083055158596</v>
      </c>
      <c r="S59" s="1">
        <f>((P59^2)+(O59^2))^0.5</f>
        <v>1.8582600545487127</v>
      </c>
    </row>
    <row r="60" spans="1:19" x14ac:dyDescent="0.2">
      <c r="A60" s="2" t="s">
        <v>66</v>
      </c>
      <c r="B60" t="s">
        <v>28</v>
      </c>
      <c r="C60" s="1">
        <v>700230.74550725997</v>
      </c>
      <c r="D60" s="1">
        <v>8160441.1232397202</v>
      </c>
      <c r="E60" s="1">
        <v>700231.73683074105</v>
      </c>
      <c r="F60" s="1">
        <v>8160439.2897279402</v>
      </c>
      <c r="G60" s="1">
        <v>700231.80176152999</v>
      </c>
      <c r="H60" s="1">
        <v>8160440.3205106296</v>
      </c>
      <c r="I60" s="1">
        <v>700232.40110446105</v>
      </c>
      <c r="J60" s="1">
        <v>8160439.2589945104</v>
      </c>
      <c r="K60" s="1">
        <f>E60-$C60</f>
        <v>0.99132348108105361</v>
      </c>
      <c r="L60" s="1">
        <f>F60-$D60</f>
        <v>-1.8335117800161242</v>
      </c>
      <c r="M60" s="1">
        <f t="shared" si="2"/>
        <v>1.0562542700208724</v>
      </c>
      <c r="N60" s="1">
        <f t="shared" si="3"/>
        <v>-0.80272909067571163</v>
      </c>
      <c r="O60" s="1">
        <f>I60-$C60</f>
        <v>1.6555972010828555</v>
      </c>
      <c r="P60" s="1">
        <f>J60-$D60</f>
        <v>-1.8642452098429203</v>
      </c>
      <c r="Q60" s="1">
        <f>((K60^2)+(L60^2))^0.5</f>
        <v>2.0843434677616246</v>
      </c>
      <c r="R60" s="1">
        <f>((N60^2)+(M60^2))^0.5</f>
        <v>1.3266676584413977</v>
      </c>
      <c r="S60" s="1">
        <f>((P60^2)+(O60^2))^0.5</f>
        <v>2.4932734095272542</v>
      </c>
    </row>
    <row r="61" spans="1:19" x14ac:dyDescent="0.2">
      <c r="A61" s="2" t="s">
        <v>38</v>
      </c>
      <c r="B61" t="s">
        <v>28</v>
      </c>
      <c r="C61" s="1">
        <v>700217.78650725703</v>
      </c>
      <c r="D61" s="1">
        <v>8160672.8742397204</v>
      </c>
      <c r="E61" s="1">
        <v>700219.09031488094</v>
      </c>
      <c r="F61" s="1">
        <v>8160674.3512024097</v>
      </c>
      <c r="G61" s="1">
        <v>700216.040848181</v>
      </c>
      <c r="H61" s="1">
        <v>8160670.7008568104</v>
      </c>
      <c r="I61" s="1">
        <v>700219.62851545203</v>
      </c>
      <c r="J61" s="1">
        <v>8160670.2587999403</v>
      </c>
      <c r="K61" s="1">
        <f>E61-$C61</f>
        <v>1.3038076239172369</v>
      </c>
      <c r="L61" s="1">
        <f>F61-$D61</f>
        <v>1.4769626893103123</v>
      </c>
      <c r="M61" s="1">
        <f t="shared" si="2"/>
        <v>-1.7456590760266408</v>
      </c>
      <c r="N61" s="1">
        <f t="shared" si="3"/>
        <v>-2.1733829099684954</v>
      </c>
      <c r="O61" s="1">
        <f>I61-$C61</f>
        <v>1.8420081950025633</v>
      </c>
      <c r="P61" s="1">
        <f>J61-$D61</f>
        <v>-2.6154397800564766</v>
      </c>
      <c r="Q61" s="1">
        <f>((K61^2)+(L61^2))^0.5</f>
        <v>1.9701099222630856</v>
      </c>
      <c r="R61" s="1">
        <f>((N61^2)+(M61^2))^0.5</f>
        <v>2.7876367918108182</v>
      </c>
      <c r="S61" s="1">
        <f>((P61^2)+(O61^2))^0.5</f>
        <v>3.1989872512341266</v>
      </c>
    </row>
    <row r="62" spans="1:19" x14ac:dyDescent="0.2">
      <c r="A62" s="2" t="s">
        <v>51</v>
      </c>
      <c r="B62" t="s">
        <v>45</v>
      </c>
      <c r="C62" s="1">
        <v>700003.41550723999</v>
      </c>
      <c r="D62" s="1">
        <v>8160017.3762397096</v>
      </c>
      <c r="E62" s="1">
        <v>700001.50621099304</v>
      </c>
      <c r="F62" s="1">
        <v>8160017.6427374901</v>
      </c>
      <c r="G62" s="1">
        <v>700001.42853639298</v>
      </c>
      <c r="H62" s="1">
        <v>8160015.9656729596</v>
      </c>
      <c r="I62" s="1">
        <v>700003.70968504704</v>
      </c>
      <c r="J62" s="1">
        <v>8160016.0571896397</v>
      </c>
      <c r="K62" s="1">
        <f>E62-$C62</f>
        <v>-1.9092962469439954</v>
      </c>
      <c r="L62" s="1">
        <f>F62-$D62</f>
        <v>0.26649778056889772</v>
      </c>
      <c r="M62" s="1">
        <f t="shared" si="2"/>
        <v>-1.9869708470068872</v>
      </c>
      <c r="N62" s="1">
        <f t="shared" si="3"/>
        <v>-1.4105667499825358</v>
      </c>
      <c r="O62" s="1">
        <f>I62-$C62</f>
        <v>0.29417780705261976</v>
      </c>
      <c r="P62" s="1">
        <f>J62-$D62</f>
        <v>-1.3190500698983669</v>
      </c>
      <c r="Q62" s="1">
        <f>((K62^2)+(L62^2))^0.5</f>
        <v>1.9278052872742553</v>
      </c>
      <c r="R62" s="1">
        <f>((N62^2)+(M62^2))^0.5</f>
        <v>2.4367502340230853</v>
      </c>
      <c r="S62" s="1">
        <f>((P62^2)+(O62^2))^0.5</f>
        <v>1.3514561291663061</v>
      </c>
    </row>
    <row r="63" spans="1:19" x14ac:dyDescent="0.2">
      <c r="A63" s="2" t="s">
        <v>47</v>
      </c>
      <c r="B63" t="s">
        <v>45</v>
      </c>
      <c r="C63" s="1">
        <v>699956.26750723505</v>
      </c>
      <c r="D63" s="1">
        <v>8159988.1332397098</v>
      </c>
      <c r="E63" s="1">
        <v>699957.89956414897</v>
      </c>
      <c r="F63" s="1">
        <v>8159987.1309818299</v>
      </c>
      <c r="G63" s="1">
        <v>699956.70792099996</v>
      </c>
      <c r="H63" s="1">
        <v>8159986.5341531197</v>
      </c>
      <c r="I63" s="1">
        <v>699956.81295906496</v>
      </c>
      <c r="J63" s="1">
        <v>8159987.6089847097</v>
      </c>
      <c r="K63" s="1">
        <f>E63-$C63</f>
        <v>1.6320569139206782</v>
      </c>
      <c r="L63" s="1">
        <f>F63-$D63</f>
        <v>-1.0022578798234463</v>
      </c>
      <c r="M63" s="1">
        <f t="shared" si="2"/>
        <v>0.44041376491077244</v>
      </c>
      <c r="N63" s="1">
        <f t="shared" si="3"/>
        <v>-1.5990865901112556</v>
      </c>
      <c r="O63" s="1">
        <f>I63-$C63</f>
        <v>0.54545182990841568</v>
      </c>
      <c r="P63" s="1">
        <f>J63-$D63</f>
        <v>-0.52425500005483627</v>
      </c>
      <c r="Q63" s="1">
        <f>((K63^2)+(L63^2))^0.5</f>
        <v>1.9152364417858381</v>
      </c>
      <c r="R63" s="1">
        <f>((N63^2)+(M63^2))^0.5</f>
        <v>1.6586266026434413</v>
      </c>
      <c r="S63" s="1">
        <f>((P63^2)+(O63^2))^0.5</f>
        <v>0.7565454406927159</v>
      </c>
    </row>
    <row r="64" spans="1:19" x14ac:dyDescent="0.2">
      <c r="A64" s="2" t="s">
        <v>50</v>
      </c>
      <c r="B64" t="s">
        <v>45</v>
      </c>
      <c r="C64" s="1">
        <v>699994.98150723905</v>
      </c>
      <c r="D64" s="1">
        <v>8160013.1612397097</v>
      </c>
      <c r="E64" s="1">
        <v>699996.76894663402</v>
      </c>
      <c r="F64" s="1">
        <v>8160012.6460076002</v>
      </c>
      <c r="G64" s="1">
        <v>699996.34391256596</v>
      </c>
      <c r="H64" s="1">
        <v>8160012.6508439695</v>
      </c>
      <c r="I64" s="1">
        <v>699994.91187977197</v>
      </c>
      <c r="J64" s="1">
        <v>8160010.9376455303</v>
      </c>
      <c r="K64" s="1">
        <f>E64-$C64</f>
        <v>1.7874393949750811</v>
      </c>
      <c r="L64" s="1">
        <f>F64-$D64</f>
        <v>-0.51523210946470499</v>
      </c>
      <c r="M64" s="1">
        <f t="shared" si="2"/>
        <v>1.3624053269159049</v>
      </c>
      <c r="N64" s="1">
        <f t="shared" si="3"/>
        <v>-0.51039574015885592</v>
      </c>
      <c r="O64" s="1">
        <f>I64-$C64</f>
        <v>-6.9627467077225447E-2</v>
      </c>
      <c r="P64" s="1">
        <f>J64-$D64</f>
        <v>-2.2235941793769598</v>
      </c>
      <c r="Q64" s="1">
        <f>((K64^2)+(L64^2))^0.5</f>
        <v>1.860216040499687</v>
      </c>
      <c r="R64" s="1">
        <f>((N64^2)+(M64^2))^0.5</f>
        <v>1.4548718453462284</v>
      </c>
      <c r="S64" s="1">
        <f>((P64^2)+(O64^2))^0.5</f>
        <v>2.2246840357072473</v>
      </c>
    </row>
    <row r="65" spans="1:19" x14ac:dyDescent="0.2">
      <c r="A65" s="2" t="s">
        <v>26</v>
      </c>
      <c r="B65" t="s">
        <v>1</v>
      </c>
      <c r="C65" s="1">
        <v>700194.25950726203</v>
      </c>
      <c r="D65" s="1">
        <v>8159819.9732397096</v>
      </c>
      <c r="E65" s="1">
        <v>700195.94664902403</v>
      </c>
      <c r="F65" s="1">
        <v>8159820.3275676602</v>
      </c>
      <c r="G65" s="1">
        <v>700196.90410298901</v>
      </c>
      <c r="H65" s="1">
        <v>8159815.4321246902</v>
      </c>
      <c r="I65" s="1">
        <v>700197.76574351604</v>
      </c>
      <c r="J65" s="1">
        <v>8159818.3327323403</v>
      </c>
      <c r="K65" s="1">
        <f>E65-$C65</f>
        <v>1.687141761998646</v>
      </c>
      <c r="L65" s="1">
        <f>F65-$D65</f>
        <v>0.35432795062661171</v>
      </c>
      <c r="M65" s="1">
        <f t="shared" si="2"/>
        <v>2.6445957269752398</v>
      </c>
      <c r="N65" s="1">
        <f t="shared" si="3"/>
        <v>-4.5411150194704533</v>
      </c>
      <c r="O65" s="1">
        <f>I65-$C65</f>
        <v>3.5062362540047616</v>
      </c>
      <c r="P65" s="1">
        <f>J65-$D65</f>
        <v>-1.6405073693022132</v>
      </c>
      <c r="Q65" s="1">
        <f>((K65^2)+(L65^2))^0.5</f>
        <v>1.7239476853069382</v>
      </c>
      <c r="R65" s="1">
        <f>((N65^2)+(M65^2))^0.5</f>
        <v>5.2550558683229847</v>
      </c>
      <c r="S65" s="1">
        <f>((P65^2)+(O65^2))^0.5</f>
        <v>3.8710408287219358</v>
      </c>
    </row>
    <row r="66" spans="1:19" x14ac:dyDescent="0.2">
      <c r="A66" s="2" t="s">
        <v>8</v>
      </c>
      <c r="B66" t="s">
        <v>1</v>
      </c>
      <c r="C66" s="1">
        <v>700339.53950727906</v>
      </c>
      <c r="D66" s="1">
        <v>8159666.46823972</v>
      </c>
      <c r="E66" s="1">
        <v>700341.17859457701</v>
      </c>
      <c r="F66" s="1">
        <v>8159666.19732871</v>
      </c>
      <c r="G66" s="1">
        <v>700338.59210005903</v>
      </c>
      <c r="H66" s="1">
        <v>8159665.35614077</v>
      </c>
      <c r="I66" s="1">
        <v>700341.14087275497</v>
      </c>
      <c r="J66" s="1">
        <v>8159666.7931978796</v>
      </c>
      <c r="K66" s="1">
        <f>E66-$C66</f>
        <v>1.6390872979536653</v>
      </c>
      <c r="L66" s="1">
        <f>F66-$D66</f>
        <v>-0.27091100998222828</v>
      </c>
      <c r="M66" s="1">
        <f t="shared" ref="M66:M87" si="4">G66-$C66</f>
        <v>-0.94740722002461553</v>
      </c>
      <c r="N66" s="1">
        <f t="shared" ref="N66:N87" si="5">H66-$D66</f>
        <v>-1.1120989499613643</v>
      </c>
      <c r="O66" s="1">
        <f>I66-$C66</f>
        <v>1.6013654759153724</v>
      </c>
      <c r="P66" s="1">
        <f>J66-$D66</f>
        <v>0.32495815958827734</v>
      </c>
      <c r="Q66" s="1">
        <f>((K66^2)+(L66^2))^0.5</f>
        <v>1.6613247562239715</v>
      </c>
      <c r="R66" s="1">
        <f>((N66^2)+(M66^2))^0.5</f>
        <v>1.4609396000724804</v>
      </c>
      <c r="S66" s="1">
        <f>((P66^2)+(O66^2))^0.5</f>
        <v>1.6340040370013371</v>
      </c>
    </row>
    <row r="67" spans="1:19" x14ac:dyDescent="0.2">
      <c r="A67" s="2" t="s">
        <v>64</v>
      </c>
      <c r="B67" t="s">
        <v>45</v>
      </c>
      <c r="C67" s="1">
        <v>700235.84350726102</v>
      </c>
      <c r="D67" s="1">
        <v>8160439.0472397199</v>
      </c>
      <c r="E67" s="1">
        <v>700234.55582200503</v>
      </c>
      <c r="F67" s="1">
        <v>8160438.0220797304</v>
      </c>
      <c r="G67" s="1">
        <v>700236.06751010905</v>
      </c>
      <c r="H67" s="1">
        <v>8160438.6833748296</v>
      </c>
      <c r="I67" s="1">
        <v>700237.18694780802</v>
      </c>
      <c r="J67" s="1">
        <v>8160437.5538919801</v>
      </c>
      <c r="K67" s="1">
        <f>E67-$C67</f>
        <v>-1.287685255985707</v>
      </c>
      <c r="L67" s="1">
        <f>F67-$D67</f>
        <v>-1.0251599894836545</v>
      </c>
      <c r="M67" s="1">
        <f t="shared" si="4"/>
        <v>0.22400284803006798</v>
      </c>
      <c r="N67" s="1">
        <f t="shared" si="5"/>
        <v>-0.36386489029973745</v>
      </c>
      <c r="O67" s="1">
        <f>I67-$C67</f>
        <v>1.3434405470034108</v>
      </c>
      <c r="P67" s="1">
        <f>J67-$D67</f>
        <v>-1.4933477398008108</v>
      </c>
      <c r="Q67" s="1">
        <f>((K67^2)+(L67^2))^0.5</f>
        <v>1.6459302301498391</v>
      </c>
      <c r="R67" s="1">
        <f>((N67^2)+(M67^2))^0.5</f>
        <v>0.4272878822508564</v>
      </c>
      <c r="S67" s="1">
        <f>((P67^2)+(O67^2))^0.5</f>
        <v>2.0087110233433312</v>
      </c>
    </row>
    <row r="68" spans="1:19" x14ac:dyDescent="0.2">
      <c r="A68" s="2" t="s">
        <v>65</v>
      </c>
      <c r="B68" t="s">
        <v>28</v>
      </c>
      <c r="C68" s="1">
        <v>700235.854507262</v>
      </c>
      <c r="D68" s="1">
        <v>8160439.0172397196</v>
      </c>
      <c r="E68" s="1">
        <v>700234.55582200503</v>
      </c>
      <c r="F68" s="1">
        <v>8160438.0220797304</v>
      </c>
      <c r="G68" s="1">
        <v>700236.06751010905</v>
      </c>
      <c r="H68" s="1">
        <v>8160438.6833748296</v>
      </c>
      <c r="I68" s="1">
        <v>700237.18694780802</v>
      </c>
      <c r="J68" s="1">
        <v>8160437.5538919801</v>
      </c>
      <c r="K68" s="1">
        <f>E68-$C68</f>
        <v>-1.2986852569738403</v>
      </c>
      <c r="L68" s="1">
        <f>F68-$D68</f>
        <v>-0.99515998922288418</v>
      </c>
      <c r="M68" s="1">
        <f t="shared" si="4"/>
        <v>0.21300284704193473</v>
      </c>
      <c r="N68" s="1">
        <f t="shared" si="5"/>
        <v>-0.33386489003896713</v>
      </c>
      <c r="O68" s="1">
        <f>I68-$C68</f>
        <v>1.3324405460152775</v>
      </c>
      <c r="P68" s="1">
        <f>J68-$D68</f>
        <v>-1.4633477395400405</v>
      </c>
      <c r="Q68" s="1">
        <f>((K68^2)+(L68^2))^0.5</f>
        <v>1.6361316575481635</v>
      </c>
      <c r="R68" s="1">
        <f>((N68^2)+(M68^2))^0.5</f>
        <v>0.3960252235006016</v>
      </c>
      <c r="S68" s="1">
        <f>((P68^2)+(O68^2))^0.5</f>
        <v>1.9790867630001563</v>
      </c>
    </row>
    <row r="69" spans="1:19" x14ac:dyDescent="0.2">
      <c r="A69" s="2" t="s">
        <v>10</v>
      </c>
      <c r="B69" t="s">
        <v>1</v>
      </c>
      <c r="C69" s="1">
        <v>700306.95550727495</v>
      </c>
      <c r="D69" s="1">
        <v>8159660.06523972</v>
      </c>
      <c r="E69" s="1">
        <v>700306.48263633403</v>
      </c>
      <c r="F69" s="1">
        <v>8159658.5668508802</v>
      </c>
      <c r="G69" s="1">
        <v>700307.72698070598</v>
      </c>
      <c r="H69" s="1">
        <v>8159659.1035658196</v>
      </c>
      <c r="I69" s="1">
        <v>700308.09960969898</v>
      </c>
      <c r="J69" s="1">
        <v>8159659.3557405397</v>
      </c>
      <c r="K69" s="1">
        <f>E69-$C69</f>
        <v>-0.47287094092462212</v>
      </c>
      <c r="L69" s="1">
        <f>F69-$D69</f>
        <v>-1.4983888398855925</v>
      </c>
      <c r="M69" s="1">
        <f t="shared" si="4"/>
        <v>0.77147343102842569</v>
      </c>
      <c r="N69" s="1">
        <f t="shared" si="5"/>
        <v>-0.96167390048503876</v>
      </c>
      <c r="O69" s="1">
        <f>I69-$C69</f>
        <v>1.1441024240339175</v>
      </c>
      <c r="P69" s="1">
        <f>J69-$D69</f>
        <v>-0.70949918031692505</v>
      </c>
      <c r="Q69" s="1">
        <f>((K69^2)+(L69^2))^0.5</f>
        <v>1.5712339234705408</v>
      </c>
      <c r="R69" s="1">
        <f>((N69^2)+(M69^2))^0.5</f>
        <v>1.2328779119024234</v>
      </c>
      <c r="S69" s="1">
        <f>((P69^2)+(O69^2))^0.5</f>
        <v>1.3462389994167732</v>
      </c>
    </row>
    <row r="70" spans="1:19" x14ac:dyDescent="0.2">
      <c r="A70" s="2" t="s">
        <v>49</v>
      </c>
      <c r="B70" t="s">
        <v>45</v>
      </c>
      <c r="C70" s="1">
        <v>699984.73950723698</v>
      </c>
      <c r="D70" s="1">
        <v>8160010.1812397102</v>
      </c>
      <c r="E70" s="1">
        <v>699985.68887908303</v>
      </c>
      <c r="F70" s="1">
        <v>8160011.3055032203</v>
      </c>
      <c r="G70" s="1">
        <v>699985.07077234297</v>
      </c>
      <c r="H70" s="1">
        <v>8160009.9463015599</v>
      </c>
      <c r="I70" s="1">
        <v>699985.06475084496</v>
      </c>
      <c r="J70" s="1">
        <v>8160007.7095021298</v>
      </c>
      <c r="K70" s="1">
        <f>E70-$C70</f>
        <v>0.94937184604350477</v>
      </c>
      <c r="L70" s="1">
        <f>F70-$D70</f>
        <v>1.1242635101079941</v>
      </c>
      <c r="M70" s="1">
        <f t="shared" si="4"/>
        <v>0.33126510598231107</v>
      </c>
      <c r="N70" s="1">
        <f t="shared" si="5"/>
        <v>-0.23493815027177334</v>
      </c>
      <c r="O70" s="1">
        <f>I70-$C70</f>
        <v>0.32524360797833651</v>
      </c>
      <c r="P70" s="1">
        <f>J70-$D70</f>
        <v>-2.4717375803738832</v>
      </c>
      <c r="Q70" s="1">
        <f>((K70^2)+(L70^2))^0.5</f>
        <v>1.471487459076835</v>
      </c>
      <c r="R70" s="1">
        <f>((N70^2)+(M70^2))^0.5</f>
        <v>0.40611883100220081</v>
      </c>
      <c r="S70" s="1">
        <f>((P70^2)+(O70^2))^0.5</f>
        <v>2.4930443379056269</v>
      </c>
    </row>
    <row r="71" spans="1:19" x14ac:dyDescent="0.2">
      <c r="A71" s="2" t="s">
        <v>35</v>
      </c>
      <c r="B71" t="s">
        <v>28</v>
      </c>
      <c r="C71" s="1">
        <v>700131.21350724797</v>
      </c>
      <c r="D71" s="1">
        <v>8160768.0432397202</v>
      </c>
      <c r="E71" s="1">
        <v>700130.00109479902</v>
      </c>
      <c r="F71" s="1">
        <v>8160768.8734715898</v>
      </c>
      <c r="G71" s="1">
        <v>700135.788818973</v>
      </c>
      <c r="H71" s="1">
        <v>8160764.8777413899</v>
      </c>
      <c r="I71" s="1">
        <v>700131.85983143002</v>
      </c>
      <c r="J71" s="1">
        <v>8160766.9311714098</v>
      </c>
      <c r="K71" s="1">
        <f>E71-$C71</f>
        <v>-1.2124124489491805</v>
      </c>
      <c r="L71" s="1">
        <f>F71-$D71</f>
        <v>0.83023186959326267</v>
      </c>
      <c r="M71" s="1">
        <f t="shared" si="4"/>
        <v>4.5753117250278592</v>
      </c>
      <c r="N71" s="1">
        <f t="shared" si="5"/>
        <v>-3.165498330257833</v>
      </c>
      <c r="O71" s="1">
        <f>I71-$C71</f>
        <v>0.64632418204564601</v>
      </c>
      <c r="P71" s="1">
        <f>J71-$D71</f>
        <v>-1.112068310379982</v>
      </c>
      <c r="Q71" s="1">
        <f>((K71^2)+(L71^2))^0.5</f>
        <v>1.4694314899495224</v>
      </c>
      <c r="R71" s="1">
        <f>((N71^2)+(M71^2))^0.5</f>
        <v>5.5636190613702636</v>
      </c>
      <c r="S71" s="1">
        <f>((P71^2)+(O71^2))^0.5</f>
        <v>1.2862468173909554</v>
      </c>
    </row>
    <row r="72" spans="1:19" x14ac:dyDescent="0.2">
      <c r="A72" s="2" t="s">
        <v>33</v>
      </c>
      <c r="B72" t="s">
        <v>28</v>
      </c>
      <c r="C72" s="1">
        <v>699979.94250722905</v>
      </c>
      <c r="D72" s="1">
        <v>8160908.8952397099</v>
      </c>
      <c r="E72" s="1">
        <v>699980.95070112799</v>
      </c>
      <c r="F72" s="1">
        <v>8160909.8401025701</v>
      </c>
      <c r="G72" s="1">
        <v>699979.22511229804</v>
      </c>
      <c r="H72" s="1">
        <v>8160907.72476032</v>
      </c>
      <c r="I72" s="1">
        <v>699979.61883355095</v>
      </c>
      <c r="J72" s="1">
        <v>8160907.15106807</v>
      </c>
      <c r="K72" s="1">
        <f>E72-$C72</f>
        <v>1.0081938989460468</v>
      </c>
      <c r="L72" s="1">
        <f>F72-$D72</f>
        <v>0.94486286025494337</v>
      </c>
      <c r="M72" s="1">
        <f t="shared" si="4"/>
        <v>-0.71739493100903928</v>
      </c>
      <c r="N72" s="1">
        <f t="shared" si="5"/>
        <v>-1.1704793898388743</v>
      </c>
      <c r="O72" s="1">
        <f>I72-$C72</f>
        <v>-0.32367367809638381</v>
      </c>
      <c r="P72" s="1">
        <f>J72-$D72</f>
        <v>-1.7441716399043798</v>
      </c>
      <c r="Q72" s="1">
        <f>((K72^2)+(L72^2))^0.5</f>
        <v>1.3817455491374613</v>
      </c>
      <c r="R72" s="1">
        <f>((N72^2)+(M72^2))^0.5</f>
        <v>1.3728355651989235</v>
      </c>
      <c r="S72" s="1">
        <f>((P72^2)+(O72^2))^0.5</f>
        <v>1.7739502133203104</v>
      </c>
    </row>
    <row r="73" spans="1:19" x14ac:dyDescent="0.2">
      <c r="A73" s="2" t="s">
        <v>68</v>
      </c>
      <c r="B73" t="s">
        <v>28</v>
      </c>
      <c r="C73" s="1">
        <v>700219.53650725901</v>
      </c>
      <c r="D73" s="1">
        <v>8160441.0402397197</v>
      </c>
      <c r="E73" s="1">
        <v>700219.72391331894</v>
      </c>
      <c r="F73" s="1">
        <v>8160442.3969269097</v>
      </c>
      <c r="G73" s="1">
        <v>700219.79722969595</v>
      </c>
      <c r="H73" s="1">
        <v>8160440.4408557201</v>
      </c>
      <c r="I73" s="1">
        <v>700221.31072953704</v>
      </c>
      <c r="J73" s="1">
        <v>8160440.0271026203</v>
      </c>
      <c r="K73" s="1">
        <f>E73-$C73</f>
        <v>0.1874060599366203</v>
      </c>
      <c r="L73" s="1">
        <f>F73-$D73</f>
        <v>1.3566871900111437</v>
      </c>
      <c r="M73" s="1">
        <f t="shared" si="4"/>
        <v>0.26072243694216013</v>
      </c>
      <c r="N73" s="1">
        <f t="shared" si="5"/>
        <v>-0.59938399959355593</v>
      </c>
      <c r="O73" s="1">
        <f>I73-$C73</f>
        <v>1.7742222780361772</v>
      </c>
      <c r="P73" s="1">
        <f>J73-$D73</f>
        <v>-1.0131370993331075</v>
      </c>
      <c r="Q73" s="1">
        <f>((K73^2)+(L73^2))^0.5</f>
        <v>1.3695696998843474</v>
      </c>
      <c r="R73" s="1">
        <f>((N73^2)+(M73^2))^0.5</f>
        <v>0.65363397103717502</v>
      </c>
      <c r="S73" s="1">
        <f>((P73^2)+(O73^2))^0.5</f>
        <v>2.0431131818685389</v>
      </c>
    </row>
    <row r="74" spans="1:19" x14ac:dyDescent="0.2">
      <c r="A74" s="2" t="s">
        <v>61</v>
      </c>
      <c r="B74" t="s">
        <v>45</v>
      </c>
      <c r="C74" s="1">
        <v>700260.668507264</v>
      </c>
      <c r="D74" s="1">
        <v>8160418.4222397199</v>
      </c>
      <c r="E74" s="1">
        <v>700261.79655496799</v>
      </c>
      <c r="F74" s="1">
        <v>8160419.0619366504</v>
      </c>
      <c r="G74" s="1">
        <v>700260.51572472102</v>
      </c>
      <c r="H74" s="1">
        <v>8160416.7794201504</v>
      </c>
      <c r="I74" s="1">
        <v>700262.48949087504</v>
      </c>
      <c r="J74" s="1">
        <v>8160416.1765090404</v>
      </c>
      <c r="K74" s="1">
        <f>E74-$C74</f>
        <v>1.1280477039981633</v>
      </c>
      <c r="L74" s="1">
        <f>F74-$D74</f>
        <v>0.63969693053513765</v>
      </c>
      <c r="M74" s="1">
        <f t="shared" si="4"/>
        <v>-0.15278254298027605</v>
      </c>
      <c r="N74" s="1">
        <f t="shared" si="5"/>
        <v>-1.6428195694461465</v>
      </c>
      <c r="O74" s="1">
        <f>I74-$C74</f>
        <v>1.8209836110472679</v>
      </c>
      <c r="P74" s="1">
        <f>J74-$D74</f>
        <v>-2.2457306794822216</v>
      </c>
      <c r="Q74" s="1">
        <f>((K74^2)+(L74^2))^0.5</f>
        <v>1.296805222626592</v>
      </c>
      <c r="R74" s="1">
        <f>((N74^2)+(M74^2))^0.5</f>
        <v>1.6499086772287557</v>
      </c>
      <c r="S74" s="1">
        <f>((P74^2)+(O74^2))^0.5</f>
        <v>2.8912432613791648</v>
      </c>
    </row>
    <row r="75" spans="1:19" x14ac:dyDescent="0.2">
      <c r="A75" s="2" t="s">
        <v>36</v>
      </c>
      <c r="B75" t="s">
        <v>28</v>
      </c>
      <c r="C75" s="1">
        <v>700202.40550725604</v>
      </c>
      <c r="D75" s="1">
        <v>8160680.7542397203</v>
      </c>
      <c r="E75" s="1">
        <v>700202.72394542606</v>
      </c>
      <c r="F75" s="1">
        <v>8160681.9417318702</v>
      </c>
      <c r="G75" s="1">
        <v>700204.05458393798</v>
      </c>
      <c r="H75" s="1">
        <v>8160679.26926535</v>
      </c>
      <c r="I75" s="1">
        <v>700203.16485206899</v>
      </c>
      <c r="J75" s="1">
        <v>8160678.3822016604</v>
      </c>
      <c r="K75" s="1">
        <f>E75-$C75</f>
        <v>0.31843817001208663</v>
      </c>
      <c r="L75" s="1">
        <f>F75-$D75</f>
        <v>1.1874921498820186</v>
      </c>
      <c r="M75" s="1">
        <f t="shared" si="4"/>
        <v>1.6490766819333658</v>
      </c>
      <c r="N75" s="1">
        <f t="shared" si="5"/>
        <v>-1.4849743703380227</v>
      </c>
      <c r="O75" s="1">
        <f>I75-$C75</f>
        <v>0.75934481294825673</v>
      </c>
      <c r="P75" s="1">
        <f>J75-$D75</f>
        <v>-2.3720380598679185</v>
      </c>
      <c r="Q75" s="1">
        <f>((K75^2)+(L75^2))^0.5</f>
        <v>1.2294472230039257</v>
      </c>
      <c r="R75" s="1">
        <f>((N75^2)+(M75^2))^0.5</f>
        <v>2.2191446062519598</v>
      </c>
      <c r="S75" s="1">
        <f>((P75^2)+(O75^2))^0.5</f>
        <v>2.4906162093773867</v>
      </c>
    </row>
    <row r="76" spans="1:19" x14ac:dyDescent="0.2">
      <c r="A76" s="2" t="s">
        <v>24</v>
      </c>
      <c r="B76" t="s">
        <v>1</v>
      </c>
      <c r="C76" s="1">
        <v>700165.87050725904</v>
      </c>
      <c r="D76" s="1">
        <v>8159806.1822397104</v>
      </c>
      <c r="E76" s="1">
        <v>700165.67284382705</v>
      </c>
      <c r="F76" s="1">
        <v>8159807.2215443496</v>
      </c>
      <c r="G76" s="1">
        <v>700165.592366867</v>
      </c>
      <c r="H76" s="1">
        <v>8159805.1503077699</v>
      </c>
      <c r="I76" s="1">
        <v>700165.41409640596</v>
      </c>
      <c r="J76" s="1">
        <v>8159804.8011219297</v>
      </c>
      <c r="K76" s="1">
        <f>E76-$C76</f>
        <v>-0.1976634319871664</v>
      </c>
      <c r="L76" s="1">
        <f>F76-$D76</f>
        <v>1.0393046392127872</v>
      </c>
      <c r="M76" s="1">
        <f t="shared" si="4"/>
        <v>-0.27814039203803986</v>
      </c>
      <c r="N76" s="1">
        <f t="shared" si="5"/>
        <v>-1.0319319404661655</v>
      </c>
      <c r="O76" s="1">
        <f>I76-$C76</f>
        <v>-0.45641085307579488</v>
      </c>
      <c r="P76" s="1">
        <f>J76-$D76</f>
        <v>-1.3811177806928754</v>
      </c>
      <c r="Q76" s="1">
        <f>((K76^2)+(L76^2))^0.5</f>
        <v>1.0579342916429957</v>
      </c>
      <c r="R76" s="1">
        <f>((N76^2)+(M76^2))^0.5</f>
        <v>1.0687589098750665</v>
      </c>
      <c r="S76" s="1">
        <f>((P76^2)+(O76^2))^0.5</f>
        <v>1.4545780112979119</v>
      </c>
    </row>
    <row r="77" spans="1:19" x14ac:dyDescent="0.2">
      <c r="A77" s="2" t="s">
        <v>18</v>
      </c>
      <c r="B77" t="s">
        <v>1</v>
      </c>
      <c r="C77" s="1">
        <v>700174.63750726101</v>
      </c>
      <c r="D77" s="1">
        <v>8159692.1142397104</v>
      </c>
      <c r="E77" s="1">
        <v>700175.04491345899</v>
      </c>
      <c r="F77" s="1">
        <v>8159691.1995033501</v>
      </c>
      <c r="G77" s="1">
        <v>700176.66239581897</v>
      </c>
      <c r="H77" s="1">
        <v>8159690.0967210699</v>
      </c>
      <c r="I77" s="1">
        <v>700174.48180666799</v>
      </c>
      <c r="J77" s="1">
        <v>8159690.8255348299</v>
      </c>
      <c r="K77" s="1">
        <f>E77-$C77</f>
        <v>0.4074061979772523</v>
      </c>
      <c r="L77" s="1">
        <f>F77-$D77</f>
        <v>-0.91473636031150818</v>
      </c>
      <c r="M77" s="1">
        <f t="shared" si="4"/>
        <v>2.0248885579640046</v>
      </c>
      <c r="N77" s="1">
        <f t="shared" si="5"/>
        <v>-2.0175186404958367</v>
      </c>
      <c r="O77" s="1">
        <f>I77-$C77</f>
        <v>-0.15570059302262962</v>
      </c>
      <c r="P77" s="1">
        <f>J77-$D77</f>
        <v>-1.2887048805132508</v>
      </c>
      <c r="Q77" s="1">
        <f>((K77^2)+(L77^2))^0.5</f>
        <v>1.0013602843263885</v>
      </c>
      <c r="R77" s="1">
        <f>((N77^2)+(M77^2))^0.5</f>
        <v>2.8584182928538846</v>
      </c>
      <c r="S77" s="1">
        <f>((P77^2)+(O77^2))^0.5</f>
        <v>1.2980766324552147</v>
      </c>
    </row>
    <row r="78" spans="1:19" x14ac:dyDescent="0.2">
      <c r="A78" s="2" t="s">
        <v>44</v>
      </c>
      <c r="B78" t="s">
        <v>45</v>
      </c>
      <c r="C78" s="1">
        <v>699931.54050723102</v>
      </c>
      <c r="D78" s="1">
        <v>8159995.2412397098</v>
      </c>
      <c r="E78" s="1">
        <v>699932.53563214606</v>
      </c>
      <c r="F78" s="1">
        <v>8159995.1539494004</v>
      </c>
      <c r="G78" s="1">
        <v>699930.548075306</v>
      </c>
      <c r="H78" s="1">
        <v>8159991.9978308203</v>
      </c>
      <c r="I78" s="1">
        <v>699930.94603784604</v>
      </c>
      <c r="J78" s="1">
        <v>8159994.2708029002</v>
      </c>
      <c r="K78" s="1">
        <f>E78-$C78</f>
        <v>0.99512491503264755</v>
      </c>
      <c r="L78" s="1">
        <f>F78-$D78</f>
        <v>-8.7290309369564056E-2</v>
      </c>
      <c r="M78" s="1">
        <f t="shared" si="4"/>
        <v>-0.99243192502763122</v>
      </c>
      <c r="N78" s="1">
        <f t="shared" si="5"/>
        <v>-3.2434088895097375</v>
      </c>
      <c r="O78" s="1">
        <f>I78-$C78</f>
        <v>-0.59446938498876989</v>
      </c>
      <c r="P78" s="1">
        <f>J78-$D78</f>
        <v>-0.97043680958449841</v>
      </c>
      <c r="Q78" s="1">
        <f>((K78^2)+(L78^2))^0.5</f>
        <v>0.99894604190044634</v>
      </c>
      <c r="R78" s="1">
        <f>((N78^2)+(M78^2))^0.5</f>
        <v>3.391846451472242</v>
      </c>
      <c r="S78" s="1">
        <f>((P78^2)+(O78^2))^0.5</f>
        <v>1.1380428160159293</v>
      </c>
    </row>
    <row r="79" spans="1:19" x14ac:dyDescent="0.2">
      <c r="A79" s="2" t="s">
        <v>46</v>
      </c>
      <c r="B79" t="s">
        <v>45</v>
      </c>
      <c r="C79" s="1">
        <v>699948.82350723399</v>
      </c>
      <c r="D79" s="1">
        <v>8159984.6922397101</v>
      </c>
      <c r="E79" s="1">
        <v>699949.66369150404</v>
      </c>
      <c r="F79" s="1">
        <v>8159984.4165225299</v>
      </c>
      <c r="G79" s="1">
        <v>699948.74511749204</v>
      </c>
      <c r="H79" s="1">
        <v>8159984.31988315</v>
      </c>
      <c r="I79" s="1">
        <v>699948.65638905298</v>
      </c>
      <c r="J79" s="1">
        <v>8159982.5940966699</v>
      </c>
      <c r="K79" s="1">
        <f>E79-$C79</f>
        <v>0.84018427005503327</v>
      </c>
      <c r="L79" s="1">
        <f>F79-$D79</f>
        <v>-0.27571718022227287</v>
      </c>
      <c r="M79" s="1">
        <f t="shared" si="4"/>
        <v>-7.8389741946011782E-2</v>
      </c>
      <c r="N79" s="1">
        <f t="shared" si="5"/>
        <v>-0.37235656008124352</v>
      </c>
      <c r="O79" s="1">
        <f>I79-$C79</f>
        <v>-0.16711818100884557</v>
      </c>
      <c r="P79" s="1">
        <f>J79-$D79</f>
        <v>-2.098143040202558</v>
      </c>
      <c r="Q79" s="1">
        <f>((K79^2)+(L79^2))^0.5</f>
        <v>0.88426781639819418</v>
      </c>
      <c r="R79" s="1">
        <f>((N79^2)+(M79^2))^0.5</f>
        <v>0.38051854025513526</v>
      </c>
      <c r="S79" s="1">
        <f>((P79^2)+(O79^2))^0.5</f>
        <v>2.1047880424342349</v>
      </c>
    </row>
    <row r="80" spans="1:19" x14ac:dyDescent="0.2">
      <c r="A80" s="2" t="s">
        <v>39</v>
      </c>
      <c r="B80" t="s">
        <v>28</v>
      </c>
      <c r="C80" s="1">
        <v>700263.25550726301</v>
      </c>
      <c r="D80" s="1">
        <v>8160622.8762397198</v>
      </c>
      <c r="E80" s="1">
        <v>700262.85772480106</v>
      </c>
      <c r="F80" s="1">
        <v>8160622.0936169503</v>
      </c>
      <c r="G80" s="1">
        <v>700263.09023074305</v>
      </c>
      <c r="H80" s="1">
        <v>8160621.5059531499</v>
      </c>
      <c r="I80" s="1">
        <v>700263.77618795296</v>
      </c>
      <c r="J80" s="1">
        <v>8160621.5879292795</v>
      </c>
      <c r="K80" s="1">
        <f>E80-$C80</f>
        <v>-0.39778246195055544</v>
      </c>
      <c r="L80" s="1">
        <f>F80-$D80</f>
        <v>-0.78262276947498322</v>
      </c>
      <c r="M80" s="1">
        <f t="shared" si="4"/>
        <v>-0.16527651995420456</v>
      </c>
      <c r="N80" s="1">
        <f t="shared" si="5"/>
        <v>-1.370286569930613</v>
      </c>
      <c r="O80" s="1">
        <f>I80-$C80</f>
        <v>0.52068068995140493</v>
      </c>
      <c r="P80" s="1">
        <f>J80-$D80</f>
        <v>-1.2883104402571917</v>
      </c>
      <c r="Q80" s="1">
        <f>((K80^2)+(L80^2))^0.5</f>
        <v>0.87791188984780122</v>
      </c>
      <c r="R80" s="1">
        <f>((N80^2)+(M80^2))^0.5</f>
        <v>1.3802179580705278</v>
      </c>
      <c r="S80" s="1">
        <f>((P80^2)+(O80^2))^0.5</f>
        <v>1.3895510682821088</v>
      </c>
    </row>
    <row r="81" spans="1:19" x14ac:dyDescent="0.2">
      <c r="A81" s="2" t="s">
        <v>0</v>
      </c>
      <c r="B81" t="s">
        <v>1</v>
      </c>
      <c r="C81" s="1">
        <v>700234.22650726698</v>
      </c>
      <c r="D81" s="1">
        <v>8159827.7422397099</v>
      </c>
      <c r="E81" s="1">
        <v>700234.65171448805</v>
      </c>
      <c r="F81" s="1">
        <v>8159826.9845354203</v>
      </c>
      <c r="G81" s="1">
        <v>700234.83381343598</v>
      </c>
      <c r="H81" s="1">
        <v>8159828.6844558902</v>
      </c>
      <c r="I81" s="1">
        <v>700232.93174229295</v>
      </c>
      <c r="J81" s="1">
        <v>8159824.7543189302</v>
      </c>
      <c r="K81" s="1">
        <f>E81-$C81</f>
        <v>0.4252072210656479</v>
      </c>
      <c r="L81" s="1">
        <f>F81-$D81</f>
        <v>-0.75770428963005543</v>
      </c>
      <c r="M81" s="1">
        <f t="shared" si="4"/>
        <v>0.60730616899672896</v>
      </c>
      <c r="N81" s="1">
        <f t="shared" si="5"/>
        <v>0.9422161802649498</v>
      </c>
      <c r="O81" s="1">
        <f>I81-$C81</f>
        <v>-1.2947649740381166</v>
      </c>
      <c r="P81" s="1">
        <f>J81-$D81</f>
        <v>-2.9879207797348499</v>
      </c>
      <c r="Q81" s="1">
        <f>((K81^2)+(L81^2))^0.5</f>
        <v>0.86885958092787219</v>
      </c>
      <c r="R81" s="1">
        <f>((N81^2)+(M81^2))^0.5</f>
        <v>1.1209781948167217</v>
      </c>
      <c r="S81" s="1">
        <f>((P81^2)+(O81^2))^0.5</f>
        <v>3.2563917030921261</v>
      </c>
    </row>
    <row r="82" spans="1:19" x14ac:dyDescent="0.2">
      <c r="A82" s="2" t="s">
        <v>67</v>
      </c>
      <c r="B82" t="s">
        <v>28</v>
      </c>
      <c r="C82" s="1">
        <v>700222.47650725895</v>
      </c>
      <c r="D82" s="1">
        <v>8160445.2732397197</v>
      </c>
      <c r="E82" s="1">
        <v>700223.17249075696</v>
      </c>
      <c r="F82" s="1">
        <v>8160444.9429861195</v>
      </c>
      <c r="G82" s="1">
        <v>700223.10105194803</v>
      </c>
      <c r="H82" s="1">
        <v>8160444.8946516803</v>
      </c>
      <c r="I82" s="1">
        <v>700224.235176043</v>
      </c>
      <c r="J82" s="1">
        <v>8160444.6482642302</v>
      </c>
      <c r="K82" s="1">
        <f>E82-$C82</f>
        <v>0.69598349800799042</v>
      </c>
      <c r="L82" s="1">
        <f>F82-$D82</f>
        <v>-0.33025360014289618</v>
      </c>
      <c r="M82" s="1">
        <f t="shared" si="4"/>
        <v>0.62454468908254057</v>
      </c>
      <c r="N82" s="1">
        <f t="shared" si="5"/>
        <v>-0.37858803942799568</v>
      </c>
      <c r="O82" s="1">
        <f>I82-$C82</f>
        <v>1.7586687840521336</v>
      </c>
      <c r="P82" s="1">
        <f>J82-$D82</f>
        <v>-0.62497548945248127</v>
      </c>
      <c r="Q82" s="1">
        <f>((K82^2)+(L82^2))^0.5</f>
        <v>0.77036385552982845</v>
      </c>
      <c r="R82" s="1">
        <f>((N82^2)+(M82^2))^0.5</f>
        <v>0.73033209724011228</v>
      </c>
      <c r="S82" s="1">
        <f>((P82^2)+(O82^2))^0.5</f>
        <v>1.8664164204206355</v>
      </c>
    </row>
    <row r="83" spans="1:19" x14ac:dyDescent="0.2">
      <c r="A83" s="2" t="s">
        <v>34</v>
      </c>
      <c r="B83" t="s">
        <v>28</v>
      </c>
      <c r="C83" s="1">
        <v>700059.53950723901</v>
      </c>
      <c r="D83" s="1">
        <v>8160730.7572397199</v>
      </c>
      <c r="E83" s="1">
        <v>700059.91705018806</v>
      </c>
      <c r="F83" s="1">
        <v>8160731.4044347703</v>
      </c>
      <c r="G83" s="1">
        <v>700058.78043169098</v>
      </c>
      <c r="H83" s="1">
        <v>8160726.8756226497</v>
      </c>
      <c r="I83" s="1">
        <v>700060.64829293895</v>
      </c>
      <c r="J83" s="1">
        <v>8160728.8603326902</v>
      </c>
      <c r="K83" s="1">
        <f>E83-$C83</f>
        <v>0.37754294904880226</v>
      </c>
      <c r="L83" s="1">
        <f>F83-$D83</f>
        <v>0.64719505049288273</v>
      </c>
      <c r="M83" s="1">
        <f t="shared" si="4"/>
        <v>-0.75907554803416133</v>
      </c>
      <c r="N83" s="1">
        <f t="shared" si="5"/>
        <v>-3.8816170701757073</v>
      </c>
      <c r="O83" s="1">
        <f>I83-$C83</f>
        <v>1.1087856999365613</v>
      </c>
      <c r="P83" s="1">
        <f>J83-$D83</f>
        <v>-1.8969070296734571</v>
      </c>
      <c r="Q83" s="1">
        <f>((K83^2)+(L83^2))^0.5</f>
        <v>0.749266382376089</v>
      </c>
      <c r="R83" s="1">
        <f>((N83^2)+(M83^2))^0.5</f>
        <v>3.9551418137789707</v>
      </c>
      <c r="S83" s="1">
        <f>((P83^2)+(O83^2))^0.5</f>
        <v>2.1971941215123412</v>
      </c>
    </row>
    <row r="84" spans="1:19" x14ac:dyDescent="0.2">
      <c r="A84" s="2" t="s">
        <v>5</v>
      </c>
      <c r="B84" t="s">
        <v>1</v>
      </c>
      <c r="C84" s="1">
        <v>700316.14850727597</v>
      </c>
      <c r="D84" s="1">
        <v>8159733.3212397099</v>
      </c>
      <c r="E84" s="1">
        <v>700315.69208234595</v>
      </c>
      <c r="F84" s="1">
        <v>8159732.94786241</v>
      </c>
      <c r="G84" s="1">
        <v>700316.65458613401</v>
      </c>
      <c r="H84" s="1">
        <v>8159733.8621629896</v>
      </c>
      <c r="I84" s="1">
        <v>700316.25599860004</v>
      </c>
      <c r="J84" s="1">
        <v>8159732.5499092201</v>
      </c>
      <c r="K84" s="1">
        <f>E84-$C84</f>
        <v>-0.45642493001651019</v>
      </c>
      <c r="L84" s="1">
        <f>F84-$D84</f>
        <v>-0.3733772998675704</v>
      </c>
      <c r="M84" s="1">
        <f t="shared" si="4"/>
        <v>0.5060788580449298</v>
      </c>
      <c r="N84" s="1">
        <f t="shared" si="5"/>
        <v>0.540923279710114</v>
      </c>
      <c r="O84" s="1">
        <f>I84-$C84</f>
        <v>0.10749132407363504</v>
      </c>
      <c r="P84" s="1">
        <f>J84-$D84</f>
        <v>-0.77133048977702856</v>
      </c>
      <c r="Q84" s="1">
        <f>((K84^2)+(L84^2))^0.5</f>
        <v>0.58969002433225359</v>
      </c>
      <c r="R84" s="1">
        <f>((N84^2)+(M84^2))^0.5</f>
        <v>0.74075218871928183</v>
      </c>
      <c r="S84" s="1">
        <f>((P84^2)+(O84^2))^0.5</f>
        <v>0.77878437915174825</v>
      </c>
    </row>
    <row r="85" spans="1:19" x14ac:dyDescent="0.2">
      <c r="A85" s="2" t="s">
        <v>48</v>
      </c>
      <c r="B85" t="s">
        <v>45</v>
      </c>
      <c r="C85" s="1">
        <v>699975.73550723505</v>
      </c>
      <c r="D85" s="1">
        <v>8160005.1962397099</v>
      </c>
      <c r="E85" s="1">
        <v>699975.35194941505</v>
      </c>
      <c r="F85" s="1">
        <v>8160005.3340368103</v>
      </c>
      <c r="G85" s="1">
        <v>699973.99009824404</v>
      </c>
      <c r="H85" s="1">
        <v>8160003.7535099396</v>
      </c>
      <c r="I85" s="1">
        <v>699975.95516284194</v>
      </c>
      <c r="J85" s="1">
        <v>8160003.4783178298</v>
      </c>
      <c r="K85" s="1">
        <f>E85-$C85</f>
        <v>-0.38355781999416649</v>
      </c>
      <c r="L85" s="1">
        <f>F85-$D85</f>
        <v>0.13779710046947002</v>
      </c>
      <c r="M85" s="1">
        <f t="shared" si="4"/>
        <v>-1.7454089910024777</v>
      </c>
      <c r="N85" s="1">
        <f t="shared" si="5"/>
        <v>-1.442729770205915</v>
      </c>
      <c r="O85" s="1">
        <f>I85-$C85</f>
        <v>0.2196556068956852</v>
      </c>
      <c r="P85" s="1">
        <f>J85-$D85</f>
        <v>-1.7179218800738454</v>
      </c>
      <c r="Q85" s="1">
        <f>((K85^2)+(L85^2))^0.5</f>
        <v>0.40755937257836511</v>
      </c>
      <c r="R85" s="1">
        <f>((N85^2)+(M85^2))^0.5</f>
        <v>2.2644914960561677</v>
      </c>
      <c r="S85" s="1">
        <f>((P85^2)+(O85^2))^0.5</f>
        <v>1.7319076683464298</v>
      </c>
    </row>
    <row r="86" spans="1:19" x14ac:dyDescent="0.2">
      <c r="A86" s="2" t="s">
        <v>4</v>
      </c>
      <c r="B86" t="s">
        <v>1</v>
      </c>
      <c r="C86" s="1">
        <v>700293.72050727403</v>
      </c>
      <c r="D86" s="1">
        <v>8159759.5452397196</v>
      </c>
      <c r="E86" s="1">
        <v>700293.99427882803</v>
      </c>
      <c r="F86" s="1">
        <v>8159759.7147677997</v>
      </c>
      <c r="G86" s="1">
        <v>700293.25758690306</v>
      </c>
      <c r="H86" s="1">
        <v>8159760.3347722804</v>
      </c>
      <c r="I86" s="1">
        <v>700293.24692639802</v>
      </c>
      <c r="J86" s="1">
        <v>8159759.4399839304</v>
      </c>
      <c r="K86" s="1">
        <f>E86-$C86</f>
        <v>0.27377155399881303</v>
      </c>
      <c r="L86" s="1">
        <f>F86-$D86</f>
        <v>0.16952808015048504</v>
      </c>
      <c r="M86" s="1">
        <f t="shared" si="4"/>
        <v>-0.46292037097737193</v>
      </c>
      <c r="N86" s="1">
        <f t="shared" si="5"/>
        <v>0.78953256085515022</v>
      </c>
      <c r="O86" s="1">
        <f>I86-$C86</f>
        <v>-0.47358087601605803</v>
      </c>
      <c r="P86" s="1">
        <f>J86-$D86</f>
        <v>-0.10525578912347555</v>
      </c>
      <c r="Q86" s="1">
        <f>((K86^2)+(L86^2))^0.5</f>
        <v>0.32201030067132058</v>
      </c>
      <c r="R86" s="1">
        <f>((N86^2)+(M86^2))^0.5</f>
        <v>0.9152359993555319</v>
      </c>
      <c r="S86" s="1">
        <f>((P86^2)+(O86^2))^0.5</f>
        <v>0.48513670987891905</v>
      </c>
    </row>
    <row r="87" spans="1:19" x14ac:dyDescent="0.2">
      <c r="A87" s="2" t="s">
        <v>43</v>
      </c>
      <c r="B87" t="s">
        <v>28</v>
      </c>
      <c r="C87" s="1">
        <v>700281.05550726596</v>
      </c>
      <c r="D87" s="1">
        <v>8160509.8132397104</v>
      </c>
      <c r="E87" s="1">
        <v>700280.91100877605</v>
      </c>
      <c r="F87" s="1">
        <v>8160510.0376417404</v>
      </c>
      <c r="G87" s="1">
        <v>700285.03005822503</v>
      </c>
      <c r="H87" s="1">
        <v>8160511.5666638603</v>
      </c>
      <c r="I87" s="1">
        <v>700281.16155795497</v>
      </c>
      <c r="J87" s="1">
        <v>8160506.9809286203</v>
      </c>
      <c r="K87" s="1">
        <f>E87-$C87</f>
        <v>-0.14449848991353065</v>
      </c>
      <c r="L87" s="1">
        <f>F87-$D87</f>
        <v>0.22440202999860048</v>
      </c>
      <c r="M87" s="1">
        <f t="shared" si="4"/>
        <v>3.9745509590720758</v>
      </c>
      <c r="N87" s="1">
        <f t="shared" si="5"/>
        <v>1.7534241499379277</v>
      </c>
      <c r="O87" s="1">
        <f>I87-$C87</f>
        <v>0.10605068900622427</v>
      </c>
      <c r="P87" s="1">
        <f>J87-$D87</f>
        <v>-2.8323110900819302</v>
      </c>
      <c r="Q87" s="1">
        <f>((K87^2)+(L87^2))^0.5</f>
        <v>0.26690088919818816</v>
      </c>
      <c r="R87" s="1">
        <f>((N87^2)+(M87^2))^0.5</f>
        <v>4.3441399120937971</v>
      </c>
      <c r="S87" s="1">
        <f>((P87^2)+(O87^2))^0.5</f>
        <v>2.8342958313556093</v>
      </c>
    </row>
  </sheetData>
  <autoFilter ref="A1:S1" xr:uid="{00000000-0001-0000-0000-000000000000}">
    <sortState xmlns:xlrd2="http://schemas.microsoft.com/office/spreadsheetml/2017/richdata2" ref="A2:S87">
      <sortCondition descending="1" ref="Q1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max well rabelo</cp:lastModifiedBy>
  <cp:revision>1</cp:revision>
  <dcterms:modified xsi:type="dcterms:W3CDTF">2024-11-04T13:48:41Z</dcterms:modified>
  <dc:language>pt-BR</dc:language>
</cp:coreProperties>
</file>